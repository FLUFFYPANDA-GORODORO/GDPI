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ents" sheetId="1" r:id="rId5"/>
    <sheet state="visible" name="GD Evaluations" sheetId="2" r:id="rId6"/>
    <sheet state="visible" name="Technical_Evaluations" sheetId="3" r:id="rId7"/>
    <sheet state="visible" name="SoftSkills_Evaluations" sheetId="4" r:id="rId8"/>
    <sheet state="visible" name="Count" sheetId="5" r:id="rId9"/>
    <sheet state="visible" name="Interviewers" sheetId="6" r:id="rId10"/>
    <sheet state="visible" name="Student list" sheetId="7" r:id="rId11"/>
    <sheet state="visible" name="Sheet9" sheetId="8" r:id="rId12"/>
    <sheet state="visible" name="Compiled List" sheetId="9" r:id="rId13"/>
  </sheets>
  <definedNames>
    <definedName hidden="1" localSheetId="3" name="_xlnm._FilterDatabase">SoftSkills_Evaluations!$A$1:$Z$996</definedName>
    <definedName hidden="1" localSheetId="6" name="_xlnm._FilterDatabase">'Student list'!$B$7:$I$140</definedName>
  </definedNames>
  <calcPr/>
</workbook>
</file>

<file path=xl/sharedStrings.xml><?xml version="1.0" encoding="utf-8"?>
<sst xmlns="http://schemas.openxmlformats.org/spreadsheetml/2006/main" count="3753" uniqueCount="857">
  <si>
    <t>Timestamp</t>
  </si>
  <si>
    <t>Name</t>
  </si>
  <si>
    <t>Interviewer</t>
  </si>
  <si>
    <t>Student</t>
  </si>
  <si>
    <t>Intro</t>
  </si>
  <si>
    <t>Email</t>
  </si>
  <si>
    <t>Intern</t>
  </si>
  <si>
    <t>Domain</t>
  </si>
  <si>
    <t>Campus</t>
  </si>
  <si>
    <t>Situational</t>
  </si>
  <si>
    <t>Student Name</t>
  </si>
  <si>
    <t>Industry</t>
  </si>
  <si>
    <t>Specialization</t>
  </si>
  <si>
    <t>Total</t>
  </si>
  <si>
    <t>Soft Skills Evaluation</t>
  </si>
  <si>
    <t>Spec</t>
  </si>
  <si>
    <t>Remarks</t>
  </si>
  <si>
    <t>Opening</t>
  </si>
  <si>
    <t>Speaking</t>
  </si>
  <si>
    <t>Teamwork</t>
  </si>
  <si>
    <t>Exp</t>
  </si>
  <si>
    <t>Engagement</t>
  </si>
  <si>
    <t>Closing</t>
  </si>
  <si>
    <t>Body</t>
  </si>
  <si>
    <t>Technical Evaluation</t>
  </si>
  <si>
    <t>Total Score</t>
  </si>
  <si>
    <t>STAR</t>
  </si>
  <si>
    <t>Soft Skills Score</t>
  </si>
  <si>
    <t>Crisp</t>
  </si>
  <si>
    <t>Pers</t>
  </si>
  <si>
    <t>Shreyash Hukkeri</t>
  </si>
  <si>
    <t>Technical Score</t>
  </si>
  <si>
    <t>GD Score</t>
  </si>
  <si>
    <t>Total Score Overall</t>
  </si>
  <si>
    <t>aishwaryakalyanshetti@gmail.com</t>
  </si>
  <si>
    <t>Total Score SS + GD</t>
  </si>
  <si>
    <t>Gaurav Ashok Pawar</t>
  </si>
  <si>
    <t>harshal chaudhari</t>
  </si>
  <si>
    <t>IIMP</t>
  </si>
  <si>
    <t>FIN</t>
  </si>
  <si>
    <t>Needs to study more about the companies, what they do and why you are interested. Keep upto date about the current happenings in the industry. Detailed study about projects done.</t>
  </si>
  <si>
    <t>Bhavesh Dilip Jagtap</t>
  </si>
  <si>
    <t>Utkarsh Satish Thorat</t>
  </si>
  <si>
    <t>Aakriti Tandon</t>
  </si>
  <si>
    <t>tusharvkshirsagar@gmail.com</t>
  </si>
  <si>
    <t>Ankita Sarode</t>
  </si>
  <si>
    <t xml:space="preserve">Answered well. Just be more confident while answering. 
</t>
  </si>
  <si>
    <t>Roshni Kewlani</t>
  </si>
  <si>
    <t>SONALI SOMNATH GAIKAR</t>
  </si>
  <si>
    <t>akriti.tandon@indiraisbs.ac.in</t>
  </si>
  <si>
    <t>Aman Sandeep Punjabi</t>
  </si>
  <si>
    <t>ISBS</t>
  </si>
  <si>
    <t>MKT</t>
  </si>
  <si>
    <t>ISBS PGDM</t>
  </si>
  <si>
    <t xml:space="preserve">Great interview. </t>
  </si>
  <si>
    <t>Dhruv Jaiswal</t>
  </si>
  <si>
    <t>interrupted the lady</t>
  </si>
  <si>
    <t>Rohini Ravindra Kamble</t>
  </si>
  <si>
    <t>deodeepa@gmail.com</t>
  </si>
  <si>
    <t>HR</t>
  </si>
  <si>
    <t>IIMP- PGDM</t>
  </si>
  <si>
    <t>Vyankatesh Santosh Dharmal</t>
  </si>
  <si>
    <t>Finance</t>
  </si>
  <si>
    <t>Need more clarity wrt your future and where exactly you want to be after pgdm. Study about companies and roles they offer in the area of your interest. Dream role n dream company were contradicting. Clarity in thoughts needed.</t>
  </si>
  <si>
    <t>Diksha Mahadeo Kumbhare</t>
  </si>
  <si>
    <t>Nikita Sharma</t>
  </si>
  <si>
    <t>khushi maru</t>
  </si>
  <si>
    <t xml:space="preserve">Required info missing </t>
  </si>
  <si>
    <t xml:space="preserve">Great!
</t>
  </si>
  <si>
    <t>smrutimehadia@gmail.com</t>
  </si>
  <si>
    <t>Amit Satish Bodake</t>
  </si>
  <si>
    <t>Soham Choudhary</t>
  </si>
  <si>
    <t>Chandrashekhar Rao</t>
  </si>
  <si>
    <t>Vaibhavi Samadhan Patil</t>
  </si>
  <si>
    <t xml:space="preserve">Overall good. </t>
  </si>
  <si>
    <t>Uddesh Anil Panpaliya</t>
  </si>
  <si>
    <t>Needs more clarity. Know everything thats on your CV thoroughly.</t>
  </si>
  <si>
    <t>Pratik Vasant Ekale</t>
  </si>
  <si>
    <t>shraddha pandurang kolhe</t>
  </si>
  <si>
    <t>Ishwar Rajendra Vyas</t>
  </si>
  <si>
    <t>Needs alot of efforts. Re work on CV. Be thorough about everything thats on cv n recents industry insights.</t>
  </si>
  <si>
    <t>Soham Shashikant Chaudhari</t>
  </si>
  <si>
    <t>yatish nandkumar mudaliyar</t>
  </si>
  <si>
    <t>Good CV good knowledge, good presentation. Study about the role you are applying/INTERESTED IN</t>
  </si>
  <si>
    <t xml:space="preserve">Gap of 2 years, graduation different domain.. elevator page ok, no STAR method used </t>
  </si>
  <si>
    <t>swaleha paliwala</t>
  </si>
  <si>
    <t>Kaustubh Pundlik Gawale</t>
  </si>
  <si>
    <t>Rajwardhan Mangesh Jadhav</t>
  </si>
  <si>
    <t>ICP</t>
  </si>
  <si>
    <t>Great</t>
  </si>
  <si>
    <t>Onkar Sanjay Khandade</t>
  </si>
  <si>
    <t>Jay Sanjay Shimpi</t>
  </si>
  <si>
    <t>Dhriti Sahu</t>
  </si>
  <si>
    <t>Good Expereince and right fit for organization. however needs to improve on resume writing and Body language. EYe contact was good</t>
  </si>
  <si>
    <t xml:space="preserve">Needs a lot of knowledge in the domain. Work on your basics of finance, confidence and communication. Keep a tab of everything happening in investment banking. </t>
  </si>
  <si>
    <t>madhumithapalani26@gmail.com</t>
  </si>
  <si>
    <t>Tanishq Chandrakant Rathod</t>
  </si>
  <si>
    <t>Well done!</t>
  </si>
  <si>
    <t>Sakshi Omanlal Uikey</t>
  </si>
  <si>
    <t>Abha Patil</t>
  </si>
  <si>
    <t>Ajay Rajaram Sagar</t>
  </si>
  <si>
    <t xml:space="preserve">Keep yourself updated with the happenings in the domain area. </t>
  </si>
  <si>
    <t>Sarvesh Gopal Navandar</t>
  </si>
  <si>
    <t>Manisha Champalal Ghanchi</t>
  </si>
  <si>
    <t>Needs to improve on rate of speech and STAR Method of Answer giving</t>
  </si>
  <si>
    <t>Know your domain knowledge. Dont contradict your own answers. Be confident in whatever you say.</t>
  </si>
  <si>
    <t>Achal Bhalchandra Chauke</t>
  </si>
  <si>
    <t>Sakshi Ghanshyam Gandhi</t>
  </si>
  <si>
    <t>Sanskruti Patil</t>
  </si>
  <si>
    <t>Brush up on domain knowledge. Be ready with the answer-why the shift from biotech to finance.</t>
  </si>
  <si>
    <t>Rohan Mirkale</t>
  </si>
  <si>
    <t>Ayush Jain</t>
  </si>
  <si>
    <t>Jayraj patil</t>
  </si>
  <si>
    <t>Good</t>
  </si>
  <si>
    <t>Need to work on spkg and language,  but could be ok for sales profile/..</t>
  </si>
  <si>
    <t>Dhru Kalekar</t>
  </si>
  <si>
    <t>RAHUL SURESH VIDHATE</t>
  </si>
  <si>
    <t>Needs a lot of prep</t>
  </si>
  <si>
    <t>abha.patil24@indiraiimp.edu.in</t>
  </si>
  <si>
    <t>Gopesh Chaudhari</t>
  </si>
  <si>
    <t xml:space="preserve">Overall seems to be good...can improve english communication, </t>
  </si>
  <si>
    <t>Shiddhika Chaturvedi</t>
  </si>
  <si>
    <t>Mehul Kailas Tamboli</t>
  </si>
  <si>
    <t>Varsharani Dhansar</t>
  </si>
  <si>
    <t>Ved M Vibhute</t>
  </si>
  <si>
    <t>Mandar Shashank Deshmukh</t>
  </si>
  <si>
    <t>KUSHAL RAMESHWAR MANKAR</t>
  </si>
  <si>
    <t>drtasneem.in@gmail.com</t>
  </si>
  <si>
    <t>Diksha Purwar</t>
  </si>
  <si>
    <t>Overall Good.</t>
  </si>
  <si>
    <t>Chetana Pawde</t>
  </si>
  <si>
    <t>Resume Relevance is poor. needs to make resume more authentic with her personality. Domain knowledge of recruitment tested, that is good. Due to time constraint, could not explore more. Gave personal feedback in detail where she needs to improve</t>
  </si>
  <si>
    <t>Krushna Rajesh Hage</t>
  </si>
  <si>
    <t>Aditi Sunil Nade</t>
  </si>
  <si>
    <t>Sanika Santosh Satav</t>
  </si>
  <si>
    <t>Overall, she has good knowledge of HR and her logical with appropriate reasoning skills are good</t>
  </si>
  <si>
    <t>Neha Jadhav</t>
  </si>
  <si>
    <t>Need to work on Vocabulary. and also need to practice on interview questions.</t>
  </si>
  <si>
    <t>Needs to make small correction in resume, rest is fine.</t>
  </si>
  <si>
    <t>Sakshi Deulkar</t>
  </si>
  <si>
    <t>Rasika Rajendra Gawali</t>
  </si>
  <si>
    <t>Abhijit Dipak Wagh</t>
  </si>
  <si>
    <t xml:space="preserve">She is aiming for HR generalist role which is a good start but over the period of time she needs to pick up the niche. </t>
  </si>
  <si>
    <t>abhijit.wagh24@indiraiimp.edu.in</t>
  </si>
  <si>
    <t>RUTUJA BADNAKHE</t>
  </si>
  <si>
    <t>Krishna Manohar Gode</t>
  </si>
  <si>
    <t>She needs to be counselled. Domain knowledge is very poor. Lacks clarity of what she wants to do, what type of HR role she is inclined towards. Resume also needs to be updated. Lacks confidence.</t>
  </si>
  <si>
    <t>kuldeep.manhas@gmail.com</t>
  </si>
  <si>
    <t>Pratik Shivaji Ghuge</t>
  </si>
  <si>
    <t>Good fit for role of marketing, great communication</t>
  </si>
  <si>
    <t>More impact needed.</t>
  </si>
  <si>
    <t>LUMAKSHINI GENDLAL BHIOGADE</t>
  </si>
  <si>
    <t>Need to do research about the industry, preparation was missing, work on the introduction part, keep the points ready for the Internship taken the key contributions, why you want to enter into a specific industry.</t>
  </si>
  <si>
    <t>Needs to be more impactful.</t>
  </si>
  <si>
    <t xml:space="preserve">Ground work ok, need some reality check </t>
  </si>
  <si>
    <t>Be more proactive</t>
  </si>
  <si>
    <t>Introduction was Ok, Presentability was good, need to improve on communication, bring out connection between what you have done, Industry knowledge and role knowledge to improve, need to articulate and be clear and concise in what you talk</t>
  </si>
  <si>
    <t>Piyush Rajendra Jadhav</t>
  </si>
  <si>
    <t>Sahil Dilip Tijare</t>
  </si>
  <si>
    <t>Baswraj Bhimrao Biradar</t>
  </si>
  <si>
    <t>Speaks well but can work on Pronunciations, summarised with out asking.</t>
  </si>
  <si>
    <t>Good introduction, overall understanding of the role in sales is good, understand the key concepts, industry, energy level can be enhanced, need to sound more convincing, Have understanding but need to explain it more emphatically. Need to be concise with his answers</t>
  </si>
  <si>
    <t>Need to work on STAR Methods based answering to questions</t>
  </si>
  <si>
    <t>Yash Abhay Bhagat</t>
  </si>
  <si>
    <t>Good candidate, uses good body language, open, energetic, smile, positive intent, presentation is good, communicates effectively, connects well, just need to be more precise while presenting, need to listen well, presentability and grooming can be enhanced.</t>
  </si>
  <si>
    <t>Speaks fast, slow down for impact.</t>
  </si>
  <si>
    <t>Sakshi Sanjay Gawande</t>
  </si>
  <si>
    <t>Abhishek Gajanan Deshpande</t>
  </si>
  <si>
    <t>Speak more elaboratively during the discussion.</t>
  </si>
  <si>
    <t>srushti sharad pawar</t>
  </si>
  <si>
    <t>Harsh Shivhare</t>
  </si>
  <si>
    <t>Good communication able to present concepts, domain and industry knowledge, introduction can be worked upon, need to be more calm and composed while presenting, Industry knowledge need to enhance</t>
  </si>
  <si>
    <t>abhishek.deshpande24@indiraiimp.edu.in</t>
  </si>
  <si>
    <t>Needs to speak more impactfully, proactively.</t>
  </si>
  <si>
    <t>Hrishikesh Mali</t>
  </si>
  <si>
    <t xml:space="preserve">Good positive attitude. </t>
  </si>
  <si>
    <t>Good presentability, able to communicate effectively, Introduction could be concise and better, understand the domain, need to understand more about the industry, trends and competition, body language could be improved.</t>
  </si>
  <si>
    <t>Kishor Vaishnav</t>
  </si>
  <si>
    <t>Needs to be more impactful in communication skills.</t>
  </si>
  <si>
    <t>Prathamesh Parik</t>
  </si>
  <si>
    <t>Good presentability, Introduction was OK, need to focus more on Industry and domain knowledge and present in a more persuasive manner</t>
  </si>
  <si>
    <t>Needs to be more prepared, proactive in participation.</t>
  </si>
  <si>
    <t>Atharva Mahesh Babhulgaonkar</t>
  </si>
  <si>
    <t xml:space="preserve">Needs some examples. No STAR method </t>
  </si>
  <si>
    <t>Pawan Bhimdev Atole</t>
  </si>
  <si>
    <t>Good overall presentability, Able to highlight the contributions made during the Internship, need to enhance the industry and domain knowledge and also how to present it, communication and articulation need to be practiced more.</t>
  </si>
  <si>
    <t>Shubham Annasaheb Khatik</t>
  </si>
  <si>
    <t xml:space="preserve">Good overall, but need to demonstrate confidence during the interview, can enhance the domain and industry knowledge </t>
  </si>
  <si>
    <t>Janhavi Mahadeo Chaware</t>
  </si>
  <si>
    <t>Appear smart, sound confident, presents well, have domain and industry knowledge, good introduction</t>
  </si>
  <si>
    <t>Saumyaa Pathak</t>
  </si>
  <si>
    <t>Nkhil Ganesh Patil</t>
  </si>
  <si>
    <t>Good presentation, his earlier experience is visible in his interview discussion, confidence, industry and domain knowledge is good, articulation and what to highlight is good, very good on most elements.</t>
  </si>
  <si>
    <t>prashant2k1@gmail.com</t>
  </si>
  <si>
    <t>He need to work on body language</t>
  </si>
  <si>
    <t>Samrudh Dnyaneshwar Somase</t>
  </si>
  <si>
    <t>Emmanuel Suresh Mahure</t>
  </si>
  <si>
    <t>Aditi Nene</t>
  </si>
  <si>
    <t>aditi.nene24@indiraiimp.edu.in</t>
  </si>
  <si>
    <t xml:space="preserve">needs to work on her energy and confidence level. be authentic and natural. </t>
  </si>
  <si>
    <t>Gorgile rushikesh chandrakant</t>
  </si>
  <si>
    <t>Omkar Arun Mhaske</t>
  </si>
  <si>
    <t>Vaibhav Gajanan Gayki</t>
  </si>
  <si>
    <t>Marketing</t>
  </si>
  <si>
    <t>Good polite humble</t>
  </si>
  <si>
    <t>Vaishnavi Shrikant Pahune</t>
  </si>
  <si>
    <t>Sanskruti Tejkumar Gudadhe</t>
  </si>
  <si>
    <t>English Communication  - Tenses Weak, but candidate is good.</t>
  </si>
  <si>
    <t>aditi.nade24@indiraiimp.edu.in</t>
  </si>
  <si>
    <t>Vandana Sonawane</t>
  </si>
  <si>
    <t>Rucha Santosh Dagale</t>
  </si>
  <si>
    <t>UTKARSHA MOHAN DESHMUKH</t>
  </si>
  <si>
    <t>Unknown</t>
  </si>
  <si>
    <t>Gauri Pawansing Thakur</t>
  </si>
  <si>
    <t>Very well spoken, needs to be more positive, assertive in communication style though.</t>
  </si>
  <si>
    <t>ajay.sagar24@indiraiimp.edu.in</t>
  </si>
  <si>
    <t>Spoke well, needs to get over hesitation, practice needed.</t>
  </si>
  <si>
    <t>DHRITI SAHU</t>
  </si>
  <si>
    <t>Overall Good</t>
  </si>
  <si>
    <t>YASH ABHAY BHAGAT</t>
  </si>
  <si>
    <t>Spoke well, more practice needed for impactful communication skills.</t>
  </si>
  <si>
    <t>Chandranshu Chakrankit</t>
  </si>
  <si>
    <t>Very Good overall</t>
  </si>
  <si>
    <t>VISHAL RAJENDRA GAVADE</t>
  </si>
  <si>
    <t>Well spoke, just practice in grammar.</t>
  </si>
  <si>
    <t>Sanchi Shiradhonkar</t>
  </si>
  <si>
    <t>Well prepared but - "Aa..." filler words used a lot. Can do better if she overcomes this.</t>
  </si>
  <si>
    <t>Abhishek Nitin Malwadkar</t>
  </si>
  <si>
    <t>Rajat Ghode</t>
  </si>
  <si>
    <t>Well spoken, just needs more practice.</t>
  </si>
  <si>
    <t>SAUMYAA PATHAK</t>
  </si>
  <si>
    <t>Needs to be more proactive in GD.</t>
  </si>
  <si>
    <t>She is good in communication and confidence. Needs to work upon Resume, make it more impactful with her contribution to organization and eliminate generic job description and theory part</t>
  </si>
  <si>
    <t>Needs to be more proactive in her discussion.</t>
  </si>
  <si>
    <t>Prathamesh jaiswal</t>
  </si>
  <si>
    <t>Akshada Shashikant Shahane</t>
  </si>
  <si>
    <t>akshadashahane@indiraicp.edu.in</t>
  </si>
  <si>
    <t>Needs a lot of practice in GD for confidence in speaking.</t>
  </si>
  <si>
    <t>Vaishnavi Ashok Suryavanshi</t>
  </si>
  <si>
    <t>Has implemented the last time's feedback, although has some scope of improvement. , good at ground realities.</t>
  </si>
  <si>
    <t xml:space="preserve">She is very good in communication Skill </t>
  </si>
  <si>
    <t>Did not speak much.</t>
  </si>
  <si>
    <t>needs to work upon communication skills, not to speak too much. answer what is asked. needs to refine CV. Needs to have more indepth domain knowledge</t>
  </si>
  <si>
    <t>Soham Pavan Bajare</t>
  </si>
  <si>
    <t>Overall good.</t>
  </si>
  <si>
    <t>Manish Ahire</t>
  </si>
  <si>
    <t>Arya Asolkar</t>
  </si>
  <si>
    <t>Good knowledge about sales &amp; Marketing ,Good communication skill .Good prob;lem solving skill .</t>
  </si>
  <si>
    <t>Soumil Kailas Salunke</t>
  </si>
  <si>
    <t>Great communication</t>
  </si>
  <si>
    <t>Chinmay tank</t>
  </si>
  <si>
    <t>Utkarsh Mohan Deshmukh</t>
  </si>
  <si>
    <t>Resume needs be made better. English communication can be better.</t>
  </si>
  <si>
    <t>Shivam Singh</t>
  </si>
  <si>
    <t>Vishal Rajendra Gavade</t>
  </si>
  <si>
    <t>Poor communication skill  &amp; Listning Skill ..Need more prepaeation .</t>
  </si>
  <si>
    <t xml:space="preserve">Good, but communication need to improve. Polite humble great attitude adaptable person.  </t>
  </si>
  <si>
    <t>amit.bodake24@indiraiimp.edu.in</t>
  </si>
  <si>
    <t xml:space="preserve">Need more preparation.Average communication skill </t>
  </si>
  <si>
    <t>Akshita Maheshwari</t>
  </si>
  <si>
    <t>Very Good</t>
  </si>
  <si>
    <t>Average communication skill . Poor knowledge about Sales &amp; Marketing .Need more preparation ,</t>
  </si>
  <si>
    <t>Bhushan Prabhakar Bawankar</t>
  </si>
  <si>
    <t>Poor knowledge about sales &amp; Marketing .</t>
  </si>
  <si>
    <t>Good knowledge about sales .</t>
  </si>
  <si>
    <t>Toshan Rane</t>
  </si>
  <si>
    <t>God knowledge, but current affairs can bit better.</t>
  </si>
  <si>
    <t>soham.bajare@indiraisbs.ac.in</t>
  </si>
  <si>
    <t>Aniruddha Krushna Hiwale</t>
  </si>
  <si>
    <t>aniruddha.hiwale@indiraisbs.edu.in</t>
  </si>
  <si>
    <t xml:space="preserve">She seems to be good candidate, clear that she wants to get into HR Operations. </t>
  </si>
  <si>
    <t>Utkarsh Bhole</t>
  </si>
  <si>
    <t>Able to present the information, good domain information</t>
  </si>
  <si>
    <t>achal.chauke@indiraisbs.ac.in</t>
  </si>
  <si>
    <t>Exploring options in Digital Marketing, understand the domain, able to explain,</t>
  </si>
  <si>
    <t>jayraj.patil@indiraisbs.ac.in</t>
  </si>
  <si>
    <t xml:space="preserve">Good attitude,  positive attitude. </t>
  </si>
  <si>
    <t>Good clarity</t>
  </si>
  <si>
    <t>Presentability is good, but need to present himself more confidently, need to improve his understanding about domain and industry and articulate his information well</t>
  </si>
  <si>
    <t>Anjali</t>
  </si>
  <si>
    <t>isha.lad@indiraisbs.ac.in</t>
  </si>
  <si>
    <t>Isha Rajesh lad</t>
  </si>
  <si>
    <t>anjali.2426@indiraisbs.ac.in</t>
  </si>
  <si>
    <t>Communication can be a bit better, rest good.</t>
  </si>
  <si>
    <t>Presentable, comes up a knowledgable candidate, able to communicate effectively, need to work on her introduction and industry knowledge, competition knowledge</t>
  </si>
  <si>
    <t>Soumil Salunke</t>
  </si>
  <si>
    <t>akshita.maheshwari@indiraisbs.ac.in</t>
  </si>
  <si>
    <t>Should focus on STAR Method Answering</t>
  </si>
  <si>
    <t>Priya Mangesh Khandade</t>
  </si>
  <si>
    <t>Have knowledge about domain and industry but need to present in a more confident manner,</t>
  </si>
  <si>
    <t>shekhar.jena@indiraisbs.ac.in</t>
  </si>
  <si>
    <t>Shekhar Jena</t>
  </si>
  <si>
    <t>Rajesh Shinde</t>
  </si>
  <si>
    <t xml:space="preserve">Excellent Communication </t>
  </si>
  <si>
    <t>Good understanding, good presentation, have experience in sales so that is visible in his interaction</t>
  </si>
  <si>
    <t>shivam.singh@indiraisbs.ac.in</t>
  </si>
  <si>
    <t>ankita.sarode24@indiraiimp.edu.in</t>
  </si>
  <si>
    <t>Harshwardhan Bhadane</t>
  </si>
  <si>
    <t>Good understanding about the domain, concepts, able to present well, need to focus on communicating in a slow paced manner</t>
  </si>
  <si>
    <t>bhushan.bawankar@indiraisbs.ac.in</t>
  </si>
  <si>
    <t>She has good knowledge but gives over information what is not even asked. need to learn crispiness and to the point communication</t>
  </si>
  <si>
    <t>Have understanding about the domain and industry working but need to present in a more emphatic manner</t>
  </si>
  <si>
    <t>om raut</t>
  </si>
  <si>
    <t>Has an exceptionally well demeanor and grasp over the english language</t>
  </si>
  <si>
    <t>Niyati Jain</t>
  </si>
  <si>
    <t xml:space="preserve">Very well prepared. </t>
  </si>
  <si>
    <t>Gayatri Kulkarni</t>
  </si>
  <si>
    <t>Isha Rajesh Lad</t>
  </si>
  <si>
    <t>Piyanshi</t>
  </si>
  <si>
    <t>sonali gaikar</t>
  </si>
  <si>
    <t>Birajita singh</t>
  </si>
  <si>
    <t>Sakshi Gandhi</t>
  </si>
  <si>
    <t xml:space="preserve">Great communication, attitude </t>
  </si>
  <si>
    <t>Anmol Manoj Jaju</t>
  </si>
  <si>
    <t>Need to work on Domain Knowledge</t>
  </si>
  <si>
    <t>anmol.jaju@indiraisbs.edu.in</t>
  </si>
  <si>
    <t>PRATIKSHA YUVRAJ SAYAM</t>
  </si>
  <si>
    <t>You are on the right track! All the best!</t>
  </si>
  <si>
    <t>Hitanshi shah</t>
  </si>
  <si>
    <t xml:space="preserve">Please work on your basic concepts in finance. </t>
  </si>
  <si>
    <t>Siddhi Sandip Shinde</t>
  </si>
  <si>
    <t>Pooja Tarachand Samarth</t>
  </si>
  <si>
    <t>Anisha Amin</t>
  </si>
  <si>
    <t xml:space="preserve">If you are open to all roles in finance, please make sure you are good with the understanding of basic and core concepts in finance. </t>
  </si>
  <si>
    <t>Sachi Akshay Arora</t>
  </si>
  <si>
    <t>Arshiya Balemiya Jamadar</t>
  </si>
  <si>
    <t>She lacks clarity. Unable to explain her internship project also.</t>
  </si>
  <si>
    <t>Anusha Amar Chintale</t>
  </si>
  <si>
    <t>Suchit patil</t>
  </si>
  <si>
    <t xml:space="preserve">Needs a lot of work in domain knowledge. </t>
  </si>
  <si>
    <t>anusha.chintale24@indiraiimp.edu.in</t>
  </si>
  <si>
    <t>she has interrupted #5, confident</t>
  </si>
  <si>
    <t>Shruti Laxmikant Malani</t>
  </si>
  <si>
    <t>Toshan Nitin Rane</t>
  </si>
  <si>
    <t xml:space="preserve">Work on your domain knowledge. Zero down on what exactly you want after completing masters. </t>
  </si>
  <si>
    <t>Needs help in communication and confidence</t>
  </si>
  <si>
    <t>Communication can be better...nervous but handled good.</t>
  </si>
  <si>
    <t>sakshi gandhi</t>
  </si>
  <si>
    <t>Anushka singh</t>
  </si>
  <si>
    <t>anushka.singh@indiraisbs.edu.in</t>
  </si>
  <si>
    <t>Vinit Kishor Borse</t>
  </si>
  <si>
    <t>Abhishek Malwadkar</t>
  </si>
  <si>
    <t>rajat ajitrao shinde</t>
  </si>
  <si>
    <t>Achal Chauke</t>
  </si>
  <si>
    <t>Anveksha Nitin Kohadkar</t>
  </si>
  <si>
    <t>anveksha.kohadkar@indiraisbs.edu.in</t>
  </si>
  <si>
    <t>Isha Lad</t>
  </si>
  <si>
    <t>"So, i am..."</t>
  </si>
  <si>
    <t>Well prepared but lots of filler words used, needs to work on that..</t>
  </si>
  <si>
    <t>Need to work on introduction</t>
  </si>
  <si>
    <t>Needs to speak up more, add filler sentences, show listening skills</t>
  </si>
  <si>
    <t>Harshwardhan Kamlesh Bhandane</t>
  </si>
  <si>
    <t>"speaking fast and low"</t>
  </si>
  <si>
    <t>heavy voice, lack of clarity in words.</t>
  </si>
  <si>
    <t>Needs more confidence, reduce filler words..</t>
  </si>
  <si>
    <t>arshiya.jamadar@indiraisbs.edu.in</t>
  </si>
  <si>
    <t>Communication can be better. But a good humble candidate. Clarity in answer.</t>
  </si>
  <si>
    <t>Sanskruti Gudadhe</t>
  </si>
  <si>
    <t>Soham Bajare</t>
  </si>
  <si>
    <t>Kaustubh Gawale</t>
  </si>
  <si>
    <t>Rushikesh Gorgile</t>
  </si>
  <si>
    <t>Pratik Ghuge</t>
  </si>
  <si>
    <t>Priya Khandade</t>
  </si>
  <si>
    <t>Krushna Hage</t>
  </si>
  <si>
    <t>Vishal Gavade</t>
  </si>
  <si>
    <t>OMKAR SHIVRAJ CHADAWAR</t>
  </si>
  <si>
    <t>Is clear about career goal, needs to work on fluency of english and revise resume</t>
  </si>
  <si>
    <t>Akshata Maheshwari</t>
  </si>
  <si>
    <t>arti tiwari</t>
  </si>
  <si>
    <t>arti.tiwari24@indiraiimp.edu.in</t>
  </si>
  <si>
    <t>Good clarity in thoughts, but can be loud while answering, answering a bit fast.</t>
  </si>
  <si>
    <t>Onkar Gandhewr</t>
  </si>
  <si>
    <t>Great improvement</t>
  </si>
  <si>
    <t>Shreyas Sanjay Dalvi</t>
  </si>
  <si>
    <t>arya.asolkar@indiraisbs.ac.in</t>
  </si>
  <si>
    <t>Tejas Garkar</t>
  </si>
  <si>
    <t>great points</t>
  </si>
  <si>
    <t>chinmay tank</t>
  </si>
  <si>
    <t>omkar chadawar</t>
  </si>
  <si>
    <t>good knowledge</t>
  </si>
  <si>
    <t>Piyanshi Chugh</t>
  </si>
  <si>
    <t>quickly implemented what I suggested in the last GD</t>
  </si>
  <si>
    <t>Hitanshi Shah</t>
  </si>
  <si>
    <t>ved vibhute</t>
  </si>
  <si>
    <t>good body language, great points</t>
  </si>
  <si>
    <t>ashitosh yuvraj bhande</t>
  </si>
  <si>
    <t>Mehul Tamboli</t>
  </si>
  <si>
    <t>ashitosh.bhande@indiraisbs.edu.in</t>
  </si>
  <si>
    <t>Pratiksha sayam</t>
  </si>
  <si>
    <t>Good examples</t>
  </si>
  <si>
    <t>need to work on English, great confidence, good knowledge</t>
  </si>
  <si>
    <t>Pradnya Kadam</t>
  </si>
  <si>
    <t>Leadership skills</t>
  </si>
  <si>
    <t>Arshiya Jamadar</t>
  </si>
  <si>
    <t>Vaishnavi Khetre</t>
  </si>
  <si>
    <t>Samiksha Jagtap</t>
  </si>
  <si>
    <t>ayush.jain2426@indiraisbs.ac.in</t>
  </si>
  <si>
    <t>shruti malani</t>
  </si>
  <si>
    <t>Prasad Kale</t>
  </si>
  <si>
    <t>shubham.wagh</t>
  </si>
  <si>
    <t>Suchit Patil</t>
  </si>
  <si>
    <t>Dont give personal opinion in the introduction of GD.</t>
  </si>
  <si>
    <t>Speaking fast in between. Needs to be clear in speech.</t>
  </si>
  <si>
    <t>Needs to speak louder and more confidently.</t>
  </si>
  <si>
    <t>Make eye contact with team, needs to speak louder and clearer.</t>
  </si>
  <si>
    <t>More confidence needed in voice and body language..</t>
  </si>
  <si>
    <t>baswraj.biradar24@indiraiimp.edu.in</t>
  </si>
  <si>
    <t>Needs to Be loud and clear.</t>
  </si>
  <si>
    <t>Very soft spoken, needs to speak up/participate more in GD.</t>
  </si>
  <si>
    <t>Needs to be more confident in sharing views/ideas in GD.</t>
  </si>
  <si>
    <t>Emmanuel Mahure</t>
  </si>
  <si>
    <t>bhavesh.jagtap24@indiraiimp.edu.in</t>
  </si>
  <si>
    <t>Sanchi shiradhonkar</t>
  </si>
  <si>
    <t>Samrudh Somase</t>
  </si>
  <si>
    <t>good body language</t>
  </si>
  <si>
    <t>confident, need to work on language, good examples</t>
  </si>
  <si>
    <t>Vaishnavi Vijay Khetre</t>
  </si>
  <si>
    <t>Pratiksha Yuvraj Sayam</t>
  </si>
  <si>
    <t>Bhumika Parag Chordia</t>
  </si>
  <si>
    <t>great confidence, good body language</t>
  </si>
  <si>
    <t>bhumika.chordia@indiraisbs.edu.in</t>
  </si>
  <si>
    <t>good examples</t>
  </si>
  <si>
    <t>shubham wagh</t>
  </si>
  <si>
    <t>reading the sentences</t>
  </si>
  <si>
    <t>use of fillers while speaking, rest all is good</t>
  </si>
  <si>
    <t>piyush sangtani</t>
  </si>
  <si>
    <t>Yatish Mudliyar</t>
  </si>
  <si>
    <t>Was speaking good but a bit out of the frame</t>
  </si>
  <si>
    <t>birajita.singh@indiraisbs.edu.in</t>
  </si>
  <si>
    <t>Rohini Kamble</t>
  </si>
  <si>
    <t>Ved vibhute</t>
  </si>
  <si>
    <t>Showing leadership,</t>
  </si>
  <si>
    <t>chinmay.tank@indiraisbs.ac.in</t>
  </si>
  <si>
    <t>She has interrupted one participant but overall good</t>
  </si>
  <si>
    <t>Good communication skills</t>
  </si>
  <si>
    <t>Good body language</t>
  </si>
  <si>
    <t>Looking at me</t>
  </si>
  <si>
    <t>Onkar Gandhewar</t>
  </si>
  <si>
    <t>did not speak</t>
  </si>
  <si>
    <t>Piyush Sangtani</t>
  </si>
  <si>
    <t>he is not there in the group, forgot to delete his name</t>
  </si>
  <si>
    <t>Devashree Kale</t>
  </si>
  <si>
    <t>devashree.kale@indiraisbs.edu.in</t>
  </si>
  <si>
    <t>Devesh Deshmukh</t>
  </si>
  <si>
    <t>devesh.deshmukh@indiraisbs.ac.in</t>
  </si>
  <si>
    <t>dhruv.jaiswal@indiraiimppgdm.edu.in</t>
  </si>
  <si>
    <t>emmanuel.mahure@indiraisbs.edu.in</t>
  </si>
  <si>
    <t>Trainer</t>
  </si>
  <si>
    <t>Count</t>
  </si>
  <si>
    <t>Type</t>
  </si>
  <si>
    <t>gaurav.pawar24@indiraiimp.edu.in</t>
  </si>
  <si>
    <t>Technical</t>
  </si>
  <si>
    <t>SoftSkills</t>
  </si>
  <si>
    <t>gauri.thakur@indiraisbs.ac.in</t>
  </si>
  <si>
    <t>Gautam Laware</t>
  </si>
  <si>
    <t>gautam.laware24@indiraiimp.edu.in</t>
  </si>
  <si>
    <t>Password</t>
  </si>
  <si>
    <t>test@1234.com</t>
  </si>
  <si>
    <r>
      <rPr>
        <rFont val="Arial"/>
        <color rgb="FF1155CC"/>
        <u/>
      </rPr>
      <t>madhumithapalani26@gmail.com</t>
    </r>
  </si>
  <si>
    <t>gayatri.kulkarni@indiraisbs.edu.in</t>
  </si>
  <si>
    <r>
      <rPr>
        <rFont val="Arial"/>
        <color rgb="FF1155CC"/>
        <u/>
      </rPr>
      <t>tusharvkshirsagar@gmail.com</t>
    </r>
  </si>
  <si>
    <r>
      <rPr>
        <rFont val="Arial"/>
        <color rgb="FF1155CC"/>
        <u/>
      </rPr>
      <t>smrutimehadia@gmail.com</t>
    </r>
  </si>
  <si>
    <r>
      <rPr>
        <rFont val="Arial"/>
        <color rgb="FF1155CC"/>
        <u/>
      </rPr>
      <t>kuldeep.manhas@gmail.com</t>
    </r>
  </si>
  <si>
    <r>
      <rPr>
        <rFont val="Arial"/>
        <color rgb="FF1155CC"/>
        <u/>
      </rPr>
      <t>aishwaryakalyanshetti@gmail.com</t>
    </r>
  </si>
  <si>
    <t>Gayatri Prakash Shinde</t>
  </si>
  <si>
    <t>gayatri.shinde24@indiraiimp.edu.in</t>
  </si>
  <si>
    <r>
      <rPr>
        <rFont val="Arial"/>
        <color rgb="FF1155CC"/>
        <u/>
      </rPr>
      <t>deodeepa@gmail.com</t>
    </r>
  </si>
  <si>
    <r>
      <rPr>
        <rFont val="Arial"/>
        <color rgb="FF1155CC"/>
        <u/>
      </rPr>
      <t>drtasneem.in@gmail.com</t>
    </r>
  </si>
  <si>
    <r>
      <rPr>
        <rFont val="Arial"/>
        <color rgb="FF1155CC"/>
        <u/>
      </rPr>
      <t>prashant2k1@gmail.com</t>
    </r>
  </si>
  <si>
    <t>apurvafrench@gmail.com</t>
  </si>
  <si>
    <t>rushikesh.gorgile24@indiraiimp.edu.in</t>
  </si>
  <si>
    <t>Harish Bhaskar Sonone</t>
  </si>
  <si>
    <t>harish.sonone@indiraisbs.edu.in</t>
  </si>
  <si>
    <t>Harshal Baban Dabhade</t>
  </si>
  <si>
    <t>harshal.dabhade24@indiraiimp.edu.in</t>
  </si>
  <si>
    <t>Harshal Pankaj Torane</t>
  </si>
  <si>
    <t>harshal.torane@indiraisbs.edu.in</t>
  </si>
  <si>
    <t>hitanshi.shah@indiraisbs.edu.in</t>
  </si>
  <si>
    <t>Sr. No</t>
  </si>
  <si>
    <t>hrishikesh.mali24@indiraiimp.edu.in</t>
  </si>
  <si>
    <t>ved.vibhute@indiraisbs.ac.in</t>
  </si>
  <si>
    <t>piyanshi.chugh@indiraisbs.ac.in</t>
  </si>
  <si>
    <t>neha.jadhav24@indiraiimp.edu.in</t>
  </si>
  <si>
    <t>swaleha.paliwala24@indiraiimp.edu.in</t>
  </si>
  <si>
    <t>manishahire@indiraicp.edu.in</t>
  </si>
  <si>
    <t>Isha Harshal Khare</t>
  </si>
  <si>
    <t>saumyaa.pathak@indiraisbs.ac.in</t>
  </si>
  <si>
    <t>isha.khare24@indiraiimp.edu.in</t>
  </si>
  <si>
    <t>kushal.mankar24@indiraiimp.edu.in</t>
  </si>
  <si>
    <t>srushti.pawar24@indiraiimp.edu.in</t>
  </si>
  <si>
    <t>uddesh.panpaliya@indiraisbs.edu.in</t>
  </si>
  <si>
    <t>sonali.gaikar@indiraisbs.edu.in</t>
  </si>
  <si>
    <t>roshni.kewlani@indiraisbs.edu.in</t>
  </si>
  <si>
    <t>sanchishiradhonkar@indiraicp.edu.in</t>
  </si>
  <si>
    <t>kaustubhgawale@indiraicp.edu.in</t>
  </si>
  <si>
    <t>soham.chaudhari24@indiraiimp.edu.in</t>
  </si>
  <si>
    <t>prathamesh.jaiswal@indiraisbs.ac.in</t>
  </si>
  <si>
    <t>janhavichaware@indiraicp.edu.in</t>
  </si>
  <si>
    <t>samrudhomase@indiraicp.edu.in</t>
  </si>
  <si>
    <t>rasika.gawali24@indiraiimp.edu.in</t>
  </si>
  <si>
    <t>vaibhav.gayki@indiraiimppgdm.edu.in</t>
  </si>
  <si>
    <t>rajat.ghode@indiraisbs.ac.in</t>
  </si>
  <si>
    <t>krushna.hage24@indiraiimp.edu.in</t>
  </si>
  <si>
    <t>vaishnavi.pahune24@indiraiimp.edu.in</t>
  </si>
  <si>
    <t>vandana.sonawane@indiraisbs.ac.in</t>
  </si>
  <si>
    <t>rajwardhan.jadhav24@indiraiimp.edu.in</t>
  </si>
  <si>
    <t>sanskruti.gudadhe24@indiraiimp.edu.in</t>
  </si>
  <si>
    <t>krishna.gode@indiraisbs.edu.in</t>
  </si>
  <si>
    <t>Jatin Lakhi Kewlani</t>
  </si>
  <si>
    <t>jatin.kewlani24@indiraiimp.edu.in</t>
  </si>
  <si>
    <r>
      <rPr>
        <rFont val="Calibri, sans-serif"/>
        <color rgb="FF1155CC"/>
        <sz val="11.0"/>
        <u/>
      </rPr>
      <t>srushti.pawar24@indiraiimp.edu.in</t>
    </r>
  </si>
  <si>
    <t>jay.shimpi@indiraicp.edu.in</t>
  </si>
  <si>
    <r>
      <rPr>
        <rFont val="Calibri, sans-serif"/>
        <color rgb="FF1155CC"/>
        <sz val="11.0"/>
        <u/>
      </rPr>
      <t>srushti.pawar24@indiraiimp.edu.in</t>
    </r>
  </si>
  <si>
    <t>sakshi.deulkar@indiraisbs.ac.in</t>
  </si>
  <si>
    <t>Kaustubh</t>
  </si>
  <si>
    <t>omkar.mhaske24@indiraiimp.edu.in</t>
  </si>
  <si>
    <t>kaustubh.badgujar@indiraisbs.edu.in</t>
  </si>
  <si>
    <t>dhriti.sahu@indiraisbs.ac.in</t>
  </si>
  <si>
    <t>utkarsh.deshmukh@indiraisbs.ac.in</t>
  </si>
  <si>
    <t>pratik.ghuge24@indiraiimp.edu.in</t>
  </si>
  <si>
    <t>pratik.ekale24@indiraiimp.edu.in</t>
  </si>
  <si>
    <t>toshan.rane@indiraisbs.ac.in</t>
  </si>
  <si>
    <t>kishor.vaishnav@indiraisbs.ac.in</t>
  </si>
  <si>
    <t>Overall Rating Student List</t>
  </si>
  <si>
    <t>mehul.tamboli@indiraisbs.ac.in</t>
  </si>
  <si>
    <t>tanishq.rathod24@indiraiimp.edu.in</t>
  </si>
  <si>
    <t>sahil.tijare24@indiraiimp.edu.in</t>
  </si>
  <si>
    <t>vishal.gavade@indiraisbs.ac.in</t>
  </si>
  <si>
    <t>onkar.khandade24@indiraiimp.edu.in</t>
  </si>
  <si>
    <t>sachi.arora@indiraisbs.ac.in</t>
  </si>
  <si>
    <t>rohini.kamble@indiraisbs.edu.in</t>
  </si>
  <si>
    <t>pratiksha.sayam@indiraisbs.edu.in</t>
  </si>
  <si>
    <t>nikita.sharma@indiraisbs.ac.in</t>
  </si>
  <si>
    <t>soumilsalunke@indiraicp.edu.in</t>
  </si>
  <si>
    <t>Laxmi Dhobe</t>
  </si>
  <si>
    <t>laxmi.dhobe@indiraisbs.ac.in</t>
  </si>
  <si>
    <t>sakshi.gandhi24@indiraiimp.edu.in</t>
  </si>
  <si>
    <t>pooja.samarth@indiraisbs.edu.in</t>
  </si>
  <si>
    <r>
      <rPr>
        <rFont val="Calibri, sans-serif"/>
        <color rgb="FF1155CC"/>
        <sz val="11.0"/>
        <u/>
      </rPr>
      <t>srushti.pawar24@indiraiimp.edu.in</t>
    </r>
  </si>
  <si>
    <t>yash.bhagat@indiraisbs.ac.in</t>
  </si>
  <si>
    <t>manishaghanchi@indiraicp.edu.in</t>
  </si>
  <si>
    <t>vaibhavi.patil24@indiraiimp.edu.in</t>
  </si>
  <si>
    <t>Communication Studnets List</t>
  </si>
  <si>
    <t>Total Score ( SS + GD )</t>
  </si>
  <si>
    <t>shruti.malani@indiraisbs.edu.in</t>
  </si>
  <si>
    <t>rahul.vidhate@indiraisbs.ac.in</t>
  </si>
  <si>
    <t>mayur madhukar naitam</t>
  </si>
  <si>
    <t>mayur.naitam24@indiraiimp.edu.in</t>
  </si>
  <si>
    <t>MEHUL AVINASH MESHRAM</t>
  </si>
  <si>
    <t>mehul.meshram@indiraisbs.edu.in</t>
  </si>
  <si>
    <t>sakshiuikey@indiraicp.edu.in</t>
  </si>
  <si>
    <t>rucha.dagale24@indiraiimp.edu.in</t>
  </si>
  <si>
    <t>Technical Student list</t>
  </si>
  <si>
    <t>Total Score ( Technical )</t>
  </si>
  <si>
    <t>Mugdha Angad Akuskar</t>
  </si>
  <si>
    <t>mugdha.akuskar24@indiraiimp.edu.in</t>
  </si>
  <si>
    <t>Nikita Narayanla Sirvi</t>
  </si>
  <si>
    <t>nikita.sirvi@indiraisbs.edu.in</t>
  </si>
  <si>
    <t>yatish.mudaliyar@indiraisbs.edu.in</t>
  </si>
  <si>
    <t>Niraj Parshram Ahire</t>
  </si>
  <si>
    <t>niraj.ahire@indiraisbs.edu.in</t>
  </si>
  <si>
    <t>nikhil.patil24@indiraiimp.edu.in</t>
  </si>
  <si>
    <t>suchit.patil24@indiraiimp.edu.in</t>
  </si>
  <si>
    <t>Om Andhare</t>
  </si>
  <si>
    <t>om.andhare24@indiraiimp.edu.in</t>
  </si>
  <si>
    <t>Om Rajesh Malpe</t>
  </si>
  <si>
    <t>om.malpe24@indiraiimp.edu.in</t>
  </si>
  <si>
    <t>chandrashekhar.rao@indiraisbs.ac.in</t>
  </si>
  <si>
    <t>utkarsh.thorat@indiraisbs.edu.in</t>
  </si>
  <si>
    <t>omkar sandeep bhosale</t>
  </si>
  <si>
    <t>omkar.bhosale24@indiraiimp.edu.in</t>
  </si>
  <si>
    <t>shraddha.kolhe24@indiraiimp.edu.in</t>
  </si>
  <si>
    <t>vinit.borse24@indiraiimp.edu.in</t>
  </si>
  <si>
    <t>onkar.chandawar@indiraisbs.ac.in</t>
  </si>
  <si>
    <t>gopesh.chaudhari@indiraisbs.ac.in</t>
  </si>
  <si>
    <t>rohan.mirkale@indiraisbs.ac.in</t>
  </si>
  <si>
    <t>rutuja.badnakhe@indiraisbs.ac.in</t>
  </si>
  <si>
    <t>ONKAR VILAS GANDHEWAR</t>
  </si>
  <si>
    <t>onkar.gandhewar@indiraisbs.edu.in</t>
  </si>
  <si>
    <t>varsharani.dhansar24@indiraiimp.edu.in</t>
  </si>
  <si>
    <t>shreyash.hukkeri@indiraisbs.ac.in</t>
  </si>
  <si>
    <t>diksha.purwar@indiraisbs.ac.in</t>
  </si>
  <si>
    <t>Palak Dilip Sureka</t>
  </si>
  <si>
    <t>palak.sureka@indiraisbs.edu.in</t>
  </si>
  <si>
    <t>Om Raut</t>
  </si>
  <si>
    <t>om.raut@indiraisbs.ac.in</t>
  </si>
  <si>
    <t>sanika.satav@indiraisbs.ac.in</t>
  </si>
  <si>
    <t>rajesh shinde</t>
  </si>
  <si>
    <t>rajesh.shinde@indiraisbs.ac.in</t>
  </si>
  <si>
    <t>niyati.jain@indiraisbs.ac.in</t>
  </si>
  <si>
    <t>chandranshu.chakrankit@indiraisbs.ac.in</t>
  </si>
  <si>
    <t>piyush.jadhav24@indiraiimp.edu.in</t>
  </si>
  <si>
    <t>khushi.maru@indiraisbs.ac.in</t>
  </si>
  <si>
    <t>rajat.shinde24@indiraiimp.edu.in</t>
  </si>
  <si>
    <t>Piyush sangtani</t>
  </si>
  <si>
    <t>piyush.sangtani@indiraisbs.ac.in</t>
  </si>
  <si>
    <t>siddhi.shinde24@indiraiimp.edu.in</t>
  </si>
  <si>
    <t>vyankatesh.dharmal24@indiraiimp.edu.in</t>
  </si>
  <si>
    <t>utkarsh.bhole@indiraisbs.ac.in</t>
  </si>
  <si>
    <t>shiddhika.chaturvedi@indiraisbs.ac.in</t>
  </si>
  <si>
    <t>ishwar.vyas@indiraisbs.ac.in</t>
  </si>
  <si>
    <t>chetana.pawde@indiraisbs.ac.in</t>
  </si>
  <si>
    <t>kumbharediksha72@gmail.com</t>
  </si>
  <si>
    <t>Poorva Shivkumar Longani</t>
  </si>
  <si>
    <t>poorva.longani24@indiraiimp.edu.in</t>
  </si>
  <si>
    <t>harshal.chaudhari@indiraisbs.edu.in</t>
  </si>
  <si>
    <t>OSCM</t>
  </si>
  <si>
    <t>mandar.deshmukh@indiraisbs.ac.in</t>
  </si>
  <si>
    <t>dhru.kalekar@indiraisbs.ac.in</t>
  </si>
  <si>
    <t>sarvesh.navandar@indiraisbs.ac.in</t>
  </si>
  <si>
    <t>PRACHI RAVINDRA DHASADE</t>
  </si>
  <si>
    <t>prachi.dhasade@indiraisbs.edu.in</t>
  </si>
  <si>
    <t>aman.punjabi@indiraisbs.ac.in</t>
  </si>
  <si>
    <t>sanskruti.patil@indiraisbs.ac.in</t>
  </si>
  <si>
    <t>abhishek.malwadkar@indiraisbs.ac.in</t>
  </si>
  <si>
    <t>Pradnya Ganpati kadam</t>
  </si>
  <si>
    <t>pradnya.kadam@indiraisbs.edu.in</t>
  </si>
  <si>
    <t>pawan.atole24@indiraiimp.edu.in</t>
  </si>
  <si>
    <t>priya.khandade@indiraisbs.ac.in</t>
  </si>
  <si>
    <t>soham.choudhary@indiraisbs.ac.in</t>
  </si>
  <si>
    <t>Prajakta Sawant</t>
  </si>
  <si>
    <t>harsh.shivhare@indiraisbs.ac.in</t>
  </si>
  <si>
    <t>prajakta.sawant@indiraisbs.edu.in</t>
  </si>
  <si>
    <t>shubham.khatik24@indiraiimp.edu.in</t>
  </si>
  <si>
    <t>atharva.babhulgaonkar24@indiraiimp.edu.in</t>
  </si>
  <si>
    <t>lumakshini.bhiogade@indiraisbs.ac.in</t>
  </si>
  <si>
    <t>Prajwal Gorakh Sangale</t>
  </si>
  <si>
    <t>sakshi.gawande@indiraisbs.ac.in</t>
  </si>
  <si>
    <t>prajwal.sangale@indiraisbs.ac.in</t>
  </si>
  <si>
    <t>isha lad</t>
  </si>
  <si>
    <t>prathamesh.parik@indiraisbs.ac.in</t>
  </si>
  <si>
    <t>vaishnavi.suryavanshi@indiraisbs.ac.in</t>
  </si>
  <si>
    <t>SHREYAS SANJAY DALVI</t>
  </si>
  <si>
    <t>shreyas.dalvi@indiraisbs.edu.in</t>
  </si>
  <si>
    <t>Pranav Sambhajirao Karhale</t>
  </si>
  <si>
    <t>pranav.karhale24@indiraiimp.edu.in</t>
  </si>
  <si>
    <t>vaishnavi.khetre@indiraisbs.edu.in</t>
  </si>
  <si>
    <t>Pranay Prabhakar Punvatkar</t>
  </si>
  <si>
    <t>pranay.punvatkar24@indiraiimp.edu.in</t>
  </si>
  <si>
    <t>Pranjali Nannaware</t>
  </si>
  <si>
    <t>pranjali.nannaware@indiraisbs.edu.in</t>
  </si>
  <si>
    <t>Prasad Tukaram Kale</t>
  </si>
  <si>
    <t>prasad.kale@indiraisbs.edu.in</t>
  </si>
  <si>
    <t>prathmesh parsekar</t>
  </si>
  <si>
    <t>prathamesh.parsekar@indiraisbs.edu.in</t>
  </si>
  <si>
    <t>Pruthvi Milindkumar Hadole</t>
  </si>
  <si>
    <t>pruthvi.hadole24@indiraiimp.edu.in</t>
  </si>
  <si>
    <t>Rohan Vitthal Jadhav</t>
  </si>
  <si>
    <t>rohan.jadhav24@indiraiimp.edu.in</t>
  </si>
  <si>
    <t>Rushikesh Rajendra Mankar</t>
  </si>
  <si>
    <t>rushikesh.mankar24@indiraiimp.edu.in</t>
  </si>
  <si>
    <t>Rutuja Vinayak dalpe</t>
  </si>
  <si>
    <t>rutuja.dalpe@indiraisbs.edu.in</t>
  </si>
  <si>
    <t>Samiksha Vishnu Jagtap</t>
  </si>
  <si>
    <t>samiksha.jagtap@indiraisbs.edu.in</t>
  </si>
  <si>
    <t>Samruddhi Santoshrao Surya</t>
  </si>
  <si>
    <t>samruddhi.surya@indiraisbs.ac.in</t>
  </si>
  <si>
    <t>Sanika Kiran Taware</t>
  </si>
  <si>
    <t>sanika.taware@indiraisbs.edu.in</t>
  </si>
  <si>
    <t>Sanket Ravsaheb Kaware</t>
  </si>
  <si>
    <t>sanket.kaware@indiraisbs.edu.in</t>
  </si>
  <si>
    <t>Sarswati Shriram Pandey</t>
  </si>
  <si>
    <t>sarswati.pandey@indiraisbs.edu.in</t>
  </si>
  <si>
    <t>Satyam Patil</t>
  </si>
  <si>
    <t>satyam.patil24@indiraiimp.edu.in</t>
  </si>
  <si>
    <t>Sayali sharma</t>
  </si>
  <si>
    <t>sayali.sharma@indiraisbs.ac.in</t>
  </si>
  <si>
    <t>Sejal Kothawade</t>
  </si>
  <si>
    <t>sejal.kothawade24@indiraiimp.edu.in</t>
  </si>
  <si>
    <t>Shivani suman</t>
  </si>
  <si>
    <t>shivani.suman@indiraisbs.edu.in</t>
  </si>
  <si>
    <t>Shivani Vilas Nawalkar</t>
  </si>
  <si>
    <t>shivani.nawalkar24@indiraiimp.edu.in</t>
  </si>
  <si>
    <t>Shreyas Sanjay Ghatage</t>
  </si>
  <si>
    <t>shreyas.ghatage24@indiraiimp.edu.in</t>
  </si>
  <si>
    <t>Shreyash Shailendra Dayma</t>
  </si>
  <si>
    <t>shreyash.dayma24@indiraiimp.edu.in</t>
  </si>
  <si>
    <t>Shruti Virendrasing Patil</t>
  </si>
  <si>
    <t>shruti.patil24@indiraiimp.edu.in</t>
  </si>
  <si>
    <t>Siddharth Raju Yashod</t>
  </si>
  <si>
    <t>siddharth.yashod@indiraisbs.edu.in</t>
  </si>
  <si>
    <t>Snehal Vilas Meshram</t>
  </si>
  <si>
    <t>snehal.meshram24@indiraiimp.edu.in</t>
  </si>
  <si>
    <r>
      <rPr>
        <rFont val="Calibri, sans-serif"/>
        <color rgb="FF1155CC"/>
        <sz val="11.0"/>
        <u/>
      </rPr>
      <t>srushti.pawar24@indiraiimp.edu.in</t>
    </r>
  </si>
  <si>
    <t>Suraj Sunil Panmand</t>
  </si>
  <si>
    <t>suraj.panmand24@indiraiimp.edu.in</t>
  </si>
  <si>
    <t>Tejas Nivrutti Garkar</t>
  </si>
  <si>
    <t>tejas.garkar@indiraisbs.edu.in</t>
  </si>
  <si>
    <t>Toshavi Rajiv Kene</t>
  </si>
  <si>
    <t>toshavi.kene@indiraisbs.edu.in</t>
  </si>
  <si>
    <t>Tushar Balaji Choure</t>
  </si>
  <si>
    <t>tushar.choure@indiraisbs.edu.in</t>
  </si>
  <si>
    <t>vaidehi surendra edakhe</t>
  </si>
  <si>
    <t>vaidehi.edakhe24@indiraiimp.edu.in</t>
  </si>
  <si>
    <t>VAIJAYANTI RAJENDRA VIDHATE</t>
  </si>
  <si>
    <t>vaijayanti.vidhate@indiraisbs.edu.in</t>
  </si>
  <si>
    <t>Vaishnavi Bhattad</t>
  </si>
  <si>
    <t>vaishnavi.bhattad24@indiraiimp.edu.in</t>
  </si>
  <si>
    <t>Vaishnavi Vilas Kaviskar</t>
  </si>
  <si>
    <t>vaishnavi.kaviskar24@indiraiimp.edu.in</t>
  </si>
  <si>
    <t>vedant kiran joshi</t>
  </si>
  <si>
    <t>vedant.joshi24@indiraiimp.edu.in</t>
  </si>
  <si>
    <t>Viraj Bhaskar Mane</t>
  </si>
  <si>
    <t>viraj.mane@indiraisbs.edu.in</t>
  </si>
  <si>
    <t>Vishakha Rameshwar Band</t>
  </si>
  <si>
    <t>vishakha.band@indiraisbs.edu.in</t>
  </si>
  <si>
    <t>Yash Umesh Patil</t>
  </si>
  <si>
    <t>yash.patil24@indiraiimp.edu.in</t>
  </si>
  <si>
    <t>Parth Sunil Dakhore</t>
  </si>
  <si>
    <t>parth.dakhore@indiraisbs.ac.in</t>
  </si>
  <si>
    <t>Harshwardhan Kamalesh Bhadane</t>
  </si>
  <si>
    <t>harshwardhan.bhadane@indiraisbs.ac.in</t>
  </si>
  <si>
    <t>sonam chhattani</t>
  </si>
  <si>
    <t>sonam.chhattani@indiraisbs.ac.in</t>
  </si>
  <si>
    <t>Manas Mali</t>
  </si>
  <si>
    <t>manas.mali@indiraisbs.ac.in</t>
  </si>
  <si>
    <t>Aniket Balasaheb Sawant</t>
  </si>
  <si>
    <t>aniket.sawant@indiraisbs.ac.in</t>
  </si>
  <si>
    <t>Sainath Baburao Chidrawar</t>
  </si>
  <si>
    <t>sainath.chidrawar@indiraisbs.ac.in</t>
  </si>
  <si>
    <t>Shriram Satish Warpe</t>
  </si>
  <si>
    <t>shriram.warpe@indiraisbs.ac.in</t>
  </si>
  <si>
    <t>Anisha Sadashiva Amin</t>
  </si>
  <si>
    <t>anisha.amin@indiraisbs.ac.in</t>
  </si>
  <si>
    <t>Jaidev Naie</t>
  </si>
  <si>
    <t>jaidev.nair@indiraisbs.ac.in</t>
  </si>
  <si>
    <t>Mayur Harish Manglani</t>
  </si>
  <si>
    <t>mayur.manglani@indiraisbs.ac.in</t>
  </si>
  <si>
    <t>Revati Sanjay Kasodekar</t>
  </si>
  <si>
    <t>revati.kasodekar@indiraisbs.ac.in</t>
  </si>
  <si>
    <t>Sunita Debnath</t>
  </si>
  <si>
    <t>sunita.debnath@indiraisbs.ac.in</t>
  </si>
  <si>
    <t>Mohit Mahavir Kshirsagar</t>
  </si>
  <si>
    <t>mohit.kshirsagar@indiraisbs.ac.in</t>
  </si>
  <si>
    <t>Omkar Nathaji Pawar</t>
  </si>
  <si>
    <t>omkar.pawar@indiraisbs.ac.in</t>
  </si>
  <si>
    <t>Jatin Shyam Chandak</t>
  </si>
  <si>
    <t>jatin.chandak@indiraisbs.ac.in</t>
  </si>
  <si>
    <t>Dnyaneshwar Andhare</t>
  </si>
  <si>
    <t>dnyaneshwar.andhare@indiraisbs.ac.in</t>
  </si>
  <si>
    <t>GAURAV GOPAL WANKHADE</t>
  </si>
  <si>
    <t>gaurav.wankhade@indiraisbs.ac.in</t>
  </si>
  <si>
    <t>Prachi Pramod Bodake</t>
  </si>
  <si>
    <t>prachi.bodake@indiraisbs.ac.in</t>
  </si>
  <si>
    <t>shrutika agrawal</t>
  </si>
  <si>
    <t>shrutika.agrawal@indiraisbs.ac.in</t>
  </si>
  <si>
    <t>Kshitija Chavan</t>
  </si>
  <si>
    <t>kshitija.chavan@indiraisbs.ac.in</t>
  </si>
  <si>
    <t>akanksha andure</t>
  </si>
  <si>
    <t>akanksha.andure@indiraisbs.ac.in</t>
  </si>
  <si>
    <t>DEV SHAILESH SAGAR</t>
  </si>
  <si>
    <t>dev.sagar@indiraisbs.ac.in</t>
  </si>
  <si>
    <t>Mr CHIRAG VISHANDAS DODEJA</t>
  </si>
  <si>
    <t>chirag.dodeja@indiraisbs.ac.in</t>
  </si>
  <si>
    <t>CHETNA PRAMOD WANKHEDE</t>
  </si>
  <si>
    <t>chetna.wankhede@indiraisbs.ac.in</t>
  </si>
  <si>
    <t>Niraj Jaayeshkumar Vegad</t>
  </si>
  <si>
    <t>niraj.vegad@indiraisbs.ac.in</t>
  </si>
  <si>
    <t>Daksh Jain</t>
  </si>
  <si>
    <t>daksh.jain@indiraisbs.ac.in</t>
  </si>
  <si>
    <t>Ujjwal Kumar</t>
  </si>
  <si>
    <t>ujjwal.2426@indiraisbs.ac.in</t>
  </si>
  <si>
    <t>Vanshika Ganesh Porwal</t>
  </si>
  <si>
    <t>vanshika.porwal@indiraisbs.ac.in</t>
  </si>
  <si>
    <t>Asmita Pagrut</t>
  </si>
  <si>
    <t>asmita.pagrut@indiraisbs.ac.in</t>
  </si>
  <si>
    <t>Aditya Kumar</t>
  </si>
  <si>
    <t>aditya.kumar@indiraisbs.ac.in</t>
  </si>
  <si>
    <t>Samadhan More</t>
  </si>
  <si>
    <t>samadhan.more@indiraisbs.ac.in</t>
  </si>
  <si>
    <t>Mihir Deshpande</t>
  </si>
  <si>
    <t>mihir.deshpande@indiraisbs.ac.in</t>
  </si>
  <si>
    <t>Shruti Pandey</t>
  </si>
  <si>
    <t>shruti.pandey2426@indiraisbs.ac.in</t>
  </si>
  <si>
    <t>SAKSHI RAJENDRA MAKODE</t>
  </si>
  <si>
    <t>sakshi.makode@indiraisbs.ac.in</t>
  </si>
  <si>
    <t>Tejas Sunil Mulye</t>
  </si>
  <si>
    <t>tejas.mulye@indiraisbs.ac.in</t>
  </si>
  <si>
    <t>Mansi Ganesh Wagh</t>
  </si>
  <si>
    <t>mansi.wagh@indiraisbs.ac.in</t>
  </si>
  <si>
    <t>Monika Patel</t>
  </si>
  <si>
    <t>monika.patel@indiraisbs.ac.in</t>
  </si>
  <si>
    <t>Aaron Britto</t>
  </si>
  <si>
    <t>aaron.britto@indiraisbs.ac.in</t>
  </si>
  <si>
    <t>Misba Alfuddin shaikh</t>
  </si>
  <si>
    <t>misba.shaikh@indiraisbs.ac.in</t>
  </si>
  <si>
    <t>Ganesh Kiran Marathe</t>
  </si>
  <si>
    <t>ganesh.marathe@indiraisbs.ac.in</t>
  </si>
  <si>
    <t>Himani khialani</t>
  </si>
  <si>
    <t>himani.khialani@indiraisbs.ac.in</t>
  </si>
  <si>
    <t>Samruddhi Pravin Kulkarni</t>
  </si>
  <si>
    <t>samruddhi.kulkarni@indiraisbs.ac.in</t>
  </si>
  <si>
    <t>Siddharth Sajeevan</t>
  </si>
  <si>
    <t>siddharth.sajeevan2426@indiraisbs.ac.in</t>
  </si>
  <si>
    <t>Janit purohit</t>
  </si>
  <si>
    <t>janit.purohit@indiraisbs.ac.in</t>
  </si>
  <si>
    <t>aman mishra</t>
  </si>
  <si>
    <t>aman.mishra@indiraisbs.ac.in</t>
  </si>
  <si>
    <t>Anoop Amrutkar</t>
  </si>
  <si>
    <t>anoop.amrutkar@indiraisbs.ac.in</t>
  </si>
  <si>
    <t>Prathamesh Deepak Thakare</t>
  </si>
  <si>
    <t>prathamesh.thakare@indiraisbs.ac.in</t>
  </si>
  <si>
    <t>Shikha Garg</t>
  </si>
  <si>
    <t>shikha.garg@indiraisbs.ac.in</t>
  </si>
  <si>
    <t>Aniket Walmik Jadhav</t>
  </si>
  <si>
    <t>aniket.jadhav24@indiraiimp.edu.in</t>
  </si>
  <si>
    <t>Sonali Bhelawe</t>
  </si>
  <si>
    <t>sonali.bhelawe24@indiraiimp.edu.in</t>
  </si>
  <si>
    <t>Sumedh Mahendra Thoke</t>
  </si>
  <si>
    <t>sumedh.thoke24@indiraiimp.edu.in</t>
  </si>
  <si>
    <t>Ranjeet Bhumkar</t>
  </si>
  <si>
    <t>ranjeet.bhumkar24@indiraiimp.edu.in</t>
  </si>
  <si>
    <t>Piyush Parag Sansare</t>
  </si>
  <si>
    <t>piyush.sansare24@indiraiimp.edu.in</t>
  </si>
  <si>
    <t>Ketaki Prakash Patil</t>
  </si>
  <si>
    <t>ketaki.patil24@indiraiimp.edu.in</t>
  </si>
  <si>
    <t>BA</t>
  </si>
  <si>
    <t>Prasad Ishwar Palve</t>
  </si>
  <si>
    <t>prasad.palve24@indiraiimp.edu.in</t>
  </si>
  <si>
    <t>Venkatesh Dinesh Patil</t>
  </si>
  <si>
    <t>venkatesh.patil@indiraisbs.edu.in</t>
  </si>
  <si>
    <t>Ketaki Milind Gase</t>
  </si>
  <si>
    <t>ketaki.gase@indiraisbs.edu.in</t>
  </si>
  <si>
    <t>Vaishnavi Jumade</t>
  </si>
  <si>
    <t>vaishnavi.jumade@indiraisbs.ac.in</t>
  </si>
  <si>
    <t>Pragati Gupta</t>
  </si>
  <si>
    <t>pragati.gupta@indiraisbs.ac.in</t>
  </si>
  <si>
    <t>Sarthak Umesh Kulkarni</t>
  </si>
  <si>
    <t>sarthak.kulkarni@indiraisbs.ac.in</t>
  </si>
  <si>
    <t>vinita verma</t>
  </si>
  <si>
    <t>vinita.verma@indiraisbs.ac.in</t>
  </si>
  <si>
    <t>Onkar Sangewar</t>
  </si>
  <si>
    <t>onkar.sangewar@indiraisbs.ac.in</t>
  </si>
  <si>
    <t>ABHISHEK KUMAR</t>
  </si>
  <si>
    <t>abhishek.kumar2426@indiraisbs.ac.in</t>
  </si>
  <si>
    <t>Navjot Kaur</t>
  </si>
  <si>
    <t>navjot.kaur@indiraisbs.ac.in</t>
  </si>
  <si>
    <t>Omkar Sanjay Navale</t>
  </si>
  <si>
    <t>omkar.navale@indiraisbs.ac.in</t>
  </si>
  <si>
    <t>Ravi Lalasaheb Rawale</t>
  </si>
  <si>
    <t>ravi.rewale@indiraisbs.ac.in</t>
  </si>
  <si>
    <t>Isha Manish Jariwala</t>
  </si>
  <si>
    <t>isha.jariwala@indiraisbs.ac.in</t>
  </si>
  <si>
    <t>Sakshi SONAWANE</t>
  </si>
  <si>
    <t>sakshi.sonawane@indiraisbs.ac.in</t>
  </si>
  <si>
    <t>Surbhi vyas</t>
  </si>
  <si>
    <t>surbhi.vyas@indiraisbs.ac.in</t>
  </si>
  <si>
    <t>Nikhil Sharma</t>
  </si>
  <si>
    <t>nikhil.sharma2426@indiraisbs.ac.in</t>
  </si>
  <si>
    <t>Sakshi Deepak Patil</t>
  </si>
  <si>
    <t>sakshi.patil@indiraisbs.ac.in</t>
  </si>
  <si>
    <t>vinit santosh pisole</t>
  </si>
  <si>
    <t>vineet.pisole@indiraisbs.ac.in</t>
  </si>
  <si>
    <t>Bhaskar Bandhwar</t>
  </si>
  <si>
    <t>bhaskar.bandhwar@indiraisbs.ac.in</t>
  </si>
  <si>
    <t>prathamesh dipak mehare</t>
  </si>
  <si>
    <t>prathamesh.mehare@indiraisbs.ac.in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</si>
</sst>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0">
    <font>
      <sz val="10.0"/>
      <color rgb="FF000000"/>
      <name val="Arial"/>
      <scheme val="minor"/>
    </font>
    <font>
      <b/>
      <color theme="1"/>
      <name val="Arial"/>
      <scheme val="minor"/>
    </font>
    <font>
      <b/>
      <sz val="12.0"/>
      <color rgb="FF000000"/>
      <name val="Calibri"/>
    </font>
    <font>
      <b/>
      <color theme="1"/>
      <name val="Arial"/>
    </font>
    <font>
      <sz val="12.0"/>
      <color rgb="FF000000"/>
      <name val="Calibri"/>
    </font>
    <font>
      <color theme="1"/>
      <name val="Arial"/>
      <scheme val="minor"/>
    </font>
    <font>
      <sz val="11.0"/>
      <color rgb="FF000000"/>
      <name val="Calibri"/>
    </font>
    <font>
      <color theme="1"/>
      <name val="Arial"/>
    </font>
    <font>
      <b/>
      <sz val="13.0"/>
      <color theme="1"/>
      <name val="Arial"/>
      <scheme val="minor"/>
    </font>
    <font>
      <sz val="11.0"/>
      <color theme="1"/>
      <name val="Arial"/>
      <scheme val="minor"/>
    </font>
    <font>
      <u/>
      <color rgb="FF1155CC"/>
      <name val="Arial"/>
    </font>
    <font>
      <b/>
      <sz val="12.0"/>
      <color rgb="FFFFFFFF"/>
      <name val="Arial"/>
    </font>
    <font>
      <sz val="12.0"/>
      <color rgb="FF000000"/>
      <name val="Arial"/>
    </font>
    <font>
      <b/>
      <color rgb="FF000000"/>
      <name val="Arial"/>
    </font>
    <font>
      <color rgb="FF000000"/>
      <name val="Arial"/>
    </font>
    <font>
      <u/>
      <sz val="11.0"/>
      <color rgb="FF0000FF"/>
      <name val="Calibri"/>
    </font>
    <font>
      <sz val="13.0"/>
      <color rgb="FF000000"/>
      <name val="Calibri"/>
    </font>
    <font/>
    <font>
      <color rgb="FFFFFFFF"/>
      <name val="Arial"/>
      <scheme val="minor"/>
    </font>
    <font>
      <u/>
      <sz val="11.0"/>
      <color rgb="FF0000FF"/>
      <name val="Calibri"/>
    </font>
  </fonts>
  <fills count="6">
    <fill>
      <patternFill patternType="none"/>
    </fill>
    <fill>
      <patternFill patternType="lightGray"/>
    </fill>
    <fill>
      <patternFill patternType="solid">
        <fgColor rgb="FFFFFFFF"/>
        <bgColor rgb="FFFFFFFF"/>
      </patternFill>
    </fill>
    <fill>
      <patternFill patternType="solid">
        <fgColor rgb="FF1C4587"/>
        <bgColor rgb="FF1C4587"/>
      </patternFill>
    </fill>
    <fill>
      <patternFill patternType="solid">
        <fgColor rgb="FFCFE2F3"/>
        <bgColor rgb="FFCFE2F3"/>
      </patternFill>
    </fill>
    <fill>
      <patternFill patternType="solid">
        <fgColor rgb="FF0B5394"/>
        <bgColor rgb="FF0B5394"/>
      </patternFill>
    </fill>
  </fills>
  <borders count="8">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0"/>
    </xf>
    <xf borderId="0" fillId="0" fontId="1" numFmtId="0" xfId="0" applyAlignment="1" applyFont="1">
      <alignment readingOrder="0" shrinkToFit="0" wrapText="1"/>
    </xf>
    <xf borderId="0" fillId="0" fontId="3" numFmtId="0" xfId="0" applyAlignment="1" applyFont="1">
      <alignment horizontal="center" vertical="bottom"/>
    </xf>
    <xf borderId="0" fillId="0" fontId="1" numFmtId="0" xfId="0" applyFont="1"/>
    <xf borderId="0" fillId="0" fontId="3" numFmtId="0" xfId="0" applyAlignment="1" applyFont="1">
      <alignment horizontal="center" readingOrder="0" vertical="bottom"/>
    </xf>
    <xf borderId="0" fillId="0" fontId="4" numFmtId="0" xfId="0" applyAlignment="1" applyFont="1">
      <alignment readingOrder="0" shrinkToFit="0" vertical="bottom" wrapText="0"/>
    </xf>
    <xf borderId="0" fillId="0" fontId="1" numFmtId="0" xfId="0" applyAlignment="1" applyFont="1">
      <alignment horizontal="center" readingOrder="0"/>
    </xf>
    <xf borderId="0" fillId="0" fontId="5" numFmtId="164" xfId="0" applyAlignment="1" applyFont="1" applyNumberFormat="1">
      <alignment readingOrder="0"/>
    </xf>
    <xf borderId="0" fillId="0" fontId="4" numFmtId="0" xfId="0" applyAlignment="1" applyFont="1">
      <alignment horizontal="right" readingOrder="0" shrinkToFit="0" vertical="bottom" wrapText="0"/>
    </xf>
    <xf borderId="0" fillId="0" fontId="5" numFmtId="0" xfId="0" applyAlignment="1" applyFont="1">
      <alignment readingOrder="0"/>
    </xf>
    <xf borderId="0" fillId="0" fontId="5" numFmtId="0" xfId="0" applyAlignment="1" applyFont="1">
      <alignment readingOrder="0"/>
    </xf>
    <xf borderId="0" fillId="0" fontId="4" numFmtId="0" xfId="0" applyAlignment="1" applyFont="1">
      <alignment shrinkToFit="0" vertical="bottom" wrapText="0"/>
    </xf>
    <xf borderId="0" fillId="0" fontId="5" numFmtId="0" xfId="0" applyAlignment="1" applyFont="1">
      <alignment readingOrder="0" shrinkToFit="0" wrapText="1"/>
    </xf>
    <xf borderId="1" fillId="0" fontId="6" numFmtId="0" xfId="0" applyAlignment="1" applyBorder="1" applyFont="1">
      <alignment horizontal="center" readingOrder="0" shrinkToFit="0" wrapText="0"/>
    </xf>
    <xf borderId="2" fillId="0" fontId="6" numFmtId="0" xfId="0" applyAlignment="1" applyBorder="1" applyFont="1">
      <alignment horizontal="center" readingOrder="0" shrinkToFit="0" wrapText="0"/>
    </xf>
    <xf borderId="0" fillId="0" fontId="5" numFmtId="0" xfId="0" applyAlignment="1" applyFont="1">
      <alignment shrinkToFit="0" wrapText="1"/>
    </xf>
    <xf borderId="2" fillId="0" fontId="6" numFmtId="0" xfId="0" applyAlignment="1" applyBorder="1" applyFont="1">
      <alignment horizontal="center" readingOrder="0" shrinkToFit="0" vertical="bottom" wrapText="0"/>
    </xf>
    <xf borderId="0" fillId="0" fontId="7" numFmtId="0" xfId="0" applyAlignment="1" applyFont="1">
      <alignment horizontal="center" vertical="bottom"/>
    </xf>
    <xf borderId="0" fillId="0" fontId="5" numFmtId="0" xfId="0" applyFont="1"/>
    <xf borderId="1" fillId="0" fontId="6" numFmtId="0" xfId="0" applyAlignment="1" applyBorder="1" applyFont="1">
      <alignment horizontal="center" readingOrder="0" shrinkToFit="0" vertical="bottom" wrapText="0"/>
    </xf>
    <xf borderId="3" fillId="2" fontId="6" numFmtId="0" xfId="0" applyAlignment="1" applyBorder="1" applyFill="1" applyFont="1">
      <alignment horizontal="center" readingOrder="0" vertical="bottom"/>
    </xf>
    <xf borderId="4" fillId="2" fontId="6" numFmtId="0" xfId="0" applyAlignment="1" applyBorder="1" applyFont="1">
      <alignment horizontal="center" readingOrder="0" vertical="bottom"/>
    </xf>
    <xf borderId="2" fillId="2" fontId="6" numFmtId="0" xfId="0" applyAlignment="1" applyBorder="1" applyFont="1">
      <alignment horizontal="right" readingOrder="0" shrinkToFit="0" vertical="bottom" wrapText="0"/>
    </xf>
    <xf borderId="5" fillId="2" fontId="6" numFmtId="0" xfId="0" applyAlignment="1" applyBorder="1" applyFont="1">
      <alignment horizontal="center" readingOrder="0" vertical="bottom"/>
    </xf>
    <xf borderId="0" fillId="2" fontId="5" numFmtId="0" xfId="0" applyAlignment="1" applyFont="1">
      <alignment readingOrder="0"/>
    </xf>
    <xf borderId="2" fillId="2" fontId="6" numFmtId="0" xfId="0" applyAlignment="1" applyBorder="1" applyFont="1">
      <alignment readingOrder="0" shrinkToFit="0" vertical="bottom" wrapText="1"/>
    </xf>
    <xf borderId="2" fillId="2" fontId="6" numFmtId="0" xfId="0" applyAlignment="1" applyBorder="1" applyFont="1">
      <alignment shrinkToFit="0" vertical="bottom" wrapText="0"/>
    </xf>
    <xf borderId="0" fillId="0" fontId="8" numFmtId="0" xfId="0" applyAlignment="1" applyFont="1">
      <alignment readingOrder="0"/>
    </xf>
    <xf borderId="0" fillId="0" fontId="9" numFmtId="0" xfId="0" applyAlignment="1" applyFont="1">
      <alignment readingOrder="0"/>
    </xf>
    <xf borderId="0" fillId="0" fontId="9" numFmtId="0" xfId="0" applyFont="1"/>
    <xf borderId="0" fillId="0" fontId="10" numFmtId="0" xfId="0" applyAlignment="1" applyFont="1">
      <alignment vertical="bottom"/>
    </xf>
    <xf borderId="2" fillId="0" fontId="5" numFmtId="0" xfId="0" applyAlignment="1" applyBorder="1" applyFont="1">
      <alignment horizontal="center" readingOrder="0"/>
    </xf>
    <xf borderId="2" fillId="0" fontId="5" numFmtId="0" xfId="0" applyAlignment="1" applyBorder="1" applyFont="1">
      <alignment horizontal="left" readingOrder="0"/>
    </xf>
    <xf borderId="0" fillId="0" fontId="5" numFmtId="0" xfId="0" applyAlignment="1" applyFont="1">
      <alignment horizontal="center"/>
    </xf>
    <xf borderId="0" fillId="3" fontId="11" numFmtId="0" xfId="0" applyAlignment="1" applyFill="1" applyFont="1">
      <alignment readingOrder="0" vertical="bottom"/>
    </xf>
    <xf borderId="2" fillId="3" fontId="11" numFmtId="0" xfId="0" applyAlignment="1" applyBorder="1" applyFont="1">
      <alignment readingOrder="0" vertical="bottom"/>
    </xf>
    <xf borderId="2" fillId="3" fontId="11" numFmtId="0" xfId="0" applyAlignment="1" applyBorder="1" applyFont="1">
      <alignment horizontal="center" readingOrder="0" vertical="bottom"/>
    </xf>
    <xf borderId="0" fillId="0" fontId="12" numFmtId="0" xfId="0" applyAlignment="1" applyFont="1">
      <alignment horizontal="center" readingOrder="0" vertical="bottom"/>
    </xf>
    <xf borderId="3" fillId="0" fontId="6" numFmtId="0" xfId="0" applyAlignment="1" applyBorder="1" applyFont="1">
      <alignment horizontal="center" readingOrder="0" vertical="bottom"/>
    </xf>
    <xf borderId="2" fillId="0" fontId="12" numFmtId="0" xfId="0" applyAlignment="1" applyBorder="1" applyFont="1">
      <alignment horizontal="center" readingOrder="0" vertical="bottom"/>
    </xf>
    <xf borderId="2" fillId="0" fontId="12" numFmtId="0" xfId="0" applyAlignment="1" applyBorder="1" applyFont="1">
      <alignment horizontal="center" vertical="bottom"/>
    </xf>
    <xf borderId="4" fillId="0" fontId="6" numFmtId="0" xfId="0" applyAlignment="1" applyBorder="1" applyFont="1">
      <alignment horizontal="center" readingOrder="0" vertical="bottom"/>
    </xf>
    <xf borderId="5" fillId="0" fontId="13" numFmtId="0" xfId="0" applyAlignment="1" applyBorder="1" applyFont="1">
      <alignment readingOrder="0" vertical="bottom"/>
    </xf>
    <xf borderId="0" fillId="0" fontId="13" numFmtId="0" xfId="0" applyAlignment="1" applyFont="1">
      <alignment readingOrder="0" vertical="bottom"/>
    </xf>
    <xf borderId="0" fillId="0" fontId="14" numFmtId="0" xfId="0" applyAlignment="1" applyFont="1">
      <alignment horizontal="right" readingOrder="0" vertical="bottom"/>
    </xf>
    <xf borderId="3" fillId="0" fontId="15" numFmtId="0" xfId="0" applyAlignment="1" applyBorder="1" applyFont="1">
      <alignment horizontal="center" readingOrder="0" vertical="bottom"/>
    </xf>
    <xf borderId="6" fillId="4" fontId="16" numFmtId="0" xfId="0" applyAlignment="1" applyBorder="1" applyFill="1" applyFont="1">
      <alignment horizontal="center" readingOrder="0" vertical="bottom"/>
    </xf>
    <xf borderId="6" fillId="0" fontId="17" numFmtId="0" xfId="0" applyBorder="1" applyFont="1"/>
    <xf borderId="1" fillId="0" fontId="17" numFmtId="0" xfId="0" applyBorder="1" applyFont="1"/>
    <xf borderId="0" fillId="5" fontId="18" numFmtId="0" xfId="0" applyAlignment="1" applyFill="1" applyFont="1">
      <alignment horizontal="center" readingOrder="0"/>
    </xf>
    <xf borderId="0" fillId="5" fontId="18" numFmtId="0" xfId="0" applyAlignment="1" applyFont="1">
      <alignment horizontal="center"/>
    </xf>
    <xf borderId="2" fillId="0" fontId="5" numFmtId="0" xfId="0" applyAlignment="1" applyBorder="1" applyFont="1">
      <alignment horizontal="center"/>
    </xf>
    <xf borderId="4" fillId="0" fontId="6" numFmtId="0" xfId="0" applyAlignment="1" applyBorder="1" applyFont="1">
      <alignment readingOrder="0" vertical="bottom"/>
    </xf>
    <xf borderId="3" fillId="0" fontId="6" numFmtId="0" xfId="0" applyAlignment="1" applyBorder="1" applyFont="1">
      <alignment readingOrder="0" vertical="bottom"/>
    </xf>
    <xf borderId="2" fillId="2" fontId="5" numFmtId="0" xfId="0" applyAlignment="1" applyBorder="1" applyFont="1">
      <alignment horizontal="center"/>
    </xf>
    <xf borderId="0" fillId="0" fontId="13" numFmtId="0" xfId="0" applyAlignment="1" applyFont="1">
      <alignment horizontal="center" readingOrder="0" vertical="bottom"/>
    </xf>
    <xf borderId="7" fillId="4" fontId="16" numFmtId="0" xfId="0" applyAlignment="1" applyBorder="1" applyFont="1">
      <alignment horizontal="center" readingOrder="0" vertical="bottom"/>
    </xf>
    <xf borderId="2" fillId="5" fontId="18" numFmtId="0" xfId="0" applyAlignment="1" applyBorder="1" applyFont="1">
      <alignment horizontal="center" readingOrder="0"/>
    </xf>
    <xf borderId="2" fillId="5" fontId="18" numFmtId="0" xfId="0" applyAlignment="1" applyBorder="1" applyFont="1">
      <alignment horizontal="center"/>
    </xf>
    <xf borderId="2" fillId="0" fontId="6" numFmtId="0" xfId="0" applyAlignment="1" applyBorder="1" applyFont="1">
      <alignment horizontal="center" readingOrder="0" vertical="bottom"/>
    </xf>
    <xf borderId="2" fillId="0" fontId="14" numFmtId="0" xfId="0" applyAlignment="1" applyBorder="1" applyFont="1">
      <alignment horizontal="center" readingOrder="0" vertical="bottom"/>
    </xf>
    <xf borderId="2" fillId="0" fontId="6" numFmtId="0" xfId="0" applyAlignment="1" applyBorder="1" applyFont="1">
      <alignment horizontal="center" shrinkToFit="0" vertical="bottom" wrapText="0"/>
    </xf>
    <xf borderId="4" fillId="0" fontId="6" numFmtId="0" xfId="0" applyAlignment="1" applyBorder="1" applyFont="1">
      <alignment horizontal="center" readingOrder="0" shrinkToFit="0" wrapText="0"/>
    </xf>
    <xf borderId="4" fillId="0" fontId="6" numFmtId="0" xfId="0" applyAlignment="1" applyBorder="1" applyFont="1">
      <alignment horizontal="center" readingOrder="0" shrinkToFit="0" vertical="bottom" wrapText="0"/>
    </xf>
    <xf borderId="0" fillId="0" fontId="14" numFmtId="0" xfId="0" applyAlignment="1" applyFont="1">
      <alignment vertical="bottom"/>
    </xf>
    <xf borderId="2" fillId="0" fontId="19" numFmtId="0" xfId="0" applyAlignment="1" applyBorder="1" applyFont="1">
      <alignment horizontal="center" readingOrder="0" shrinkToFit="0" wrapText="0"/>
    </xf>
    <xf borderId="2" fillId="0" fontId="6" numFmtId="0" xfId="0" applyAlignment="1" applyBorder="1" applyFont="1">
      <alignment readingOrder="0" shrinkToFit="0" vertical="bottom" wrapText="0"/>
    </xf>
    <xf borderId="2" fillId="0" fontId="6" numFmtId="0" xfId="0" applyAlignment="1" applyBorder="1" applyFont="1">
      <alignment horizontal="center" readingOrder="0" shrinkToFit="0" vertical="bottom" wrapText="0"/>
    </xf>
  </cellXfs>
  <cellStyles count="1">
    <cellStyle xfId="0" name="Normal" builtinId="0"/>
  </cellStyles>
  <dxfs count="1">
    <dxf>
      <font/>
      <fill>
        <patternFill patternType="solid">
          <fgColor rgb="FFFBBC04"/>
          <bgColor rgb="FFFBBC04"/>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srushti.pawar24@indiraiimp.edu.i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mailto:madhumithapalani26@gmail.com" TargetMode="External"/><Relationship Id="rId2" Type="http://schemas.openxmlformats.org/officeDocument/2006/relationships/hyperlink" Target="mailto:tusharvkshirsagar@gmail.com" TargetMode="External"/><Relationship Id="rId3" Type="http://schemas.openxmlformats.org/officeDocument/2006/relationships/hyperlink" Target="mailto:smrutimehadia@gmail.com" TargetMode="External"/><Relationship Id="rId4" Type="http://schemas.openxmlformats.org/officeDocument/2006/relationships/hyperlink" Target="mailto:kuldeep.manhas@gmail.com" TargetMode="External"/><Relationship Id="rId9" Type="http://schemas.openxmlformats.org/officeDocument/2006/relationships/drawing" Target="../drawings/drawing6.xml"/><Relationship Id="rId5" Type="http://schemas.openxmlformats.org/officeDocument/2006/relationships/hyperlink" Target="mailto:aishwaryakalyanshetti@gmail.com" TargetMode="External"/><Relationship Id="rId6" Type="http://schemas.openxmlformats.org/officeDocument/2006/relationships/hyperlink" Target="mailto:deodeepa@gmail.com" TargetMode="External"/><Relationship Id="rId7" Type="http://schemas.openxmlformats.org/officeDocument/2006/relationships/hyperlink" Target="mailto:drtasneem.in@gmail.com" TargetMode="External"/><Relationship Id="rId8" Type="http://schemas.openxmlformats.org/officeDocument/2006/relationships/hyperlink" Target="mailto:prashant2k1@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srushti.pawar24@indiraiimp.edu.in"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mailto:srushti.pawar24@indiraiimp.edu.in" TargetMode="External"/><Relationship Id="rId2" Type="http://schemas.openxmlformats.org/officeDocument/2006/relationships/hyperlink" Target="mailto:srushti.pawar24@indiraiimp.edu.in"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28.63"/>
    <col customWidth="1" min="3" max="3" width="14.63"/>
    <col customWidth="1" min="5" max="5" width="21.25"/>
    <col customWidth="1" min="6" max="6" width="21.38"/>
    <col customWidth="1" min="7" max="7" width="31.38"/>
    <col customWidth="1" min="8" max="8" width="26.13"/>
    <col customWidth="1" min="9" max="9" width="15.88"/>
    <col customWidth="1" min="10" max="10" width="28.88"/>
    <col customWidth="1" min="11" max="11" width="19.5"/>
  </cols>
  <sheetData>
    <row r="1">
      <c r="A1" s="1" t="s">
        <v>1</v>
      </c>
      <c r="B1" s="1" t="s">
        <v>5</v>
      </c>
      <c r="C1" s="1" t="s">
        <v>8</v>
      </c>
      <c r="D1" s="1" t="s">
        <v>12</v>
      </c>
      <c r="E1" s="4" t="s">
        <v>14</v>
      </c>
      <c r="F1" s="4" t="s">
        <v>24</v>
      </c>
      <c r="G1" s="6" t="s">
        <v>27</v>
      </c>
      <c r="H1" s="6" t="s">
        <v>31</v>
      </c>
      <c r="I1" s="8" t="s">
        <v>32</v>
      </c>
      <c r="J1" s="1" t="s">
        <v>33</v>
      </c>
      <c r="K1" s="1" t="s">
        <v>35</v>
      </c>
      <c r="L1" s="5"/>
      <c r="M1" s="5"/>
      <c r="N1" s="5"/>
      <c r="O1" s="5"/>
      <c r="P1" s="5"/>
      <c r="Q1" s="5"/>
      <c r="R1" s="5"/>
      <c r="S1" s="5"/>
      <c r="T1" s="5"/>
      <c r="U1" s="5"/>
      <c r="V1" s="5"/>
    </row>
    <row r="2">
      <c r="A2" s="15" t="s">
        <v>43</v>
      </c>
      <c r="B2" s="16" t="s">
        <v>49</v>
      </c>
      <c r="C2" s="18" t="s">
        <v>53</v>
      </c>
      <c r="D2" s="18" t="s">
        <v>59</v>
      </c>
      <c r="E2" s="19" t="str">
        <f>IF(A2&lt;&gt;"", IF(COUNTIF(Technical_Evaluations!C:C, A2), "Present", "Absent"), "")</f>
        <v>Present</v>
      </c>
      <c r="F2" s="19" t="str">
        <f>IF(A2&lt;&gt;"", IF(COUNTIF(Technical_Evaluations!C:C, A2), "Present", "Absent"), "")
</f>
        <v>Present</v>
      </c>
      <c r="G2" s="20">
        <f>IFERROR(VLOOKUP(A2, SoftSkills_Evaluations!C:L, 8, FALSE), "")</f>
        <v>52</v>
      </c>
      <c r="H2" s="20">
        <f>IFERROR(VLOOKUP(A2, Technical_Evaluations!C:L, 7, FALSE), "")
</f>
        <v>64.2</v>
      </c>
      <c r="I2" s="20">
        <f>IFERROR(VLOOKUP(A2, 'GD Evaluations'!A:G, 7, FALSE), "")</f>
        <v>48</v>
      </c>
      <c r="J2" s="20">
        <f t="shared" ref="J2:J283" si="1">SUM(G2:I2)/3</f>
        <v>54.73333333</v>
      </c>
      <c r="K2" s="20">
        <f t="shared" ref="K2:K283" si="2">(G2+I2)/2</f>
        <v>50</v>
      </c>
    </row>
    <row r="3">
      <c r="A3" s="15" t="s">
        <v>99</v>
      </c>
      <c r="B3" s="16" t="s">
        <v>118</v>
      </c>
      <c r="C3" s="18" t="s">
        <v>38</v>
      </c>
      <c r="D3" s="18" t="s">
        <v>52</v>
      </c>
      <c r="E3" s="19" t="str">
        <f>IF(A3&lt;&gt;"", IF(COUNTIF(Technical_Evaluations!C:C, A3), "Present", "Absent"), "")</f>
        <v>Present</v>
      </c>
      <c r="F3" s="19" t="str">
        <f>IF(A3&lt;&gt;"", IF(COUNTIF(Technical_Evaluations!C:C, A3), "Present", "Absent"), "")
</f>
        <v>Present</v>
      </c>
      <c r="G3" s="20">
        <f>IFERROR(VLOOKUP(A3, SoftSkills_Evaluations!C:L, 8, FALSE), "")</f>
        <v>66</v>
      </c>
      <c r="H3" s="20">
        <f>IFERROR(VLOOKUP(A3, Technical_Evaluations!C:L, 7, FALSE), "")
</f>
        <v>80</v>
      </c>
      <c r="I3" s="20">
        <f>IFERROR(VLOOKUP(A3, 'GD Evaluations'!A:G, 7, FALSE), "")</f>
        <v>73</v>
      </c>
      <c r="J3" s="20">
        <f t="shared" si="1"/>
        <v>73</v>
      </c>
      <c r="K3" s="20">
        <f t="shared" si="2"/>
        <v>69.5</v>
      </c>
    </row>
    <row r="4">
      <c r="A4" s="15" t="s">
        <v>141</v>
      </c>
      <c r="B4" s="16" t="s">
        <v>143</v>
      </c>
      <c r="C4" s="18" t="s">
        <v>38</v>
      </c>
      <c r="D4" s="18" t="s">
        <v>52</v>
      </c>
      <c r="E4" s="19" t="str">
        <f>IF(A4&lt;&gt;"", IF(COUNTIF(Technical_Evaluations!C:C, A4), "Present", "Absent"), "")</f>
        <v>Absent</v>
      </c>
      <c r="F4" s="19" t="str">
        <f>IF(A4&lt;&gt;"", IF(COUNTIF(Technical_Evaluations!C:C, A4), "Present", "Absent"), "")
</f>
        <v>Absent</v>
      </c>
      <c r="G4" s="20" t="str">
        <f>IFERROR(VLOOKUP(A4, SoftSkills_Evaluations!C:L, 8, FALSE), "")</f>
        <v/>
      </c>
      <c r="H4" s="20" t="str">
        <f>IFERROR(VLOOKUP(A4, Technical_Evaluations!C:L, 7, FALSE), "")
</f>
        <v/>
      </c>
      <c r="I4" s="20" t="str">
        <f>IFERROR(VLOOKUP(A4, 'GD Evaluations'!A:G, 7, FALSE), "")</f>
        <v/>
      </c>
      <c r="J4" s="20">
        <f t="shared" si="1"/>
        <v>0</v>
      </c>
      <c r="K4" s="20">
        <f t="shared" si="2"/>
        <v>0</v>
      </c>
    </row>
    <row r="5">
      <c r="A5" s="15" t="s">
        <v>167</v>
      </c>
      <c r="B5" s="16" t="s">
        <v>172</v>
      </c>
      <c r="C5" s="18" t="s">
        <v>38</v>
      </c>
      <c r="D5" s="18" t="s">
        <v>39</v>
      </c>
      <c r="E5" s="19" t="str">
        <f>IF(A5&lt;&gt;"", IF(COUNTIF(Technical_Evaluations!C:C, A5), "Present", "Absent"), "")</f>
        <v>Absent</v>
      </c>
      <c r="F5" s="19" t="str">
        <f>IF(A5&lt;&gt;"", IF(COUNTIF(Technical_Evaluations!C:C, A5), "Present", "Absent"), "")
</f>
        <v>Absent</v>
      </c>
      <c r="G5" s="20" t="str">
        <f>IFERROR(VLOOKUP(A5, SoftSkills_Evaluations!C:L, 8, FALSE), "")</f>
        <v/>
      </c>
      <c r="H5" s="20" t="str">
        <f>IFERROR(VLOOKUP(A5, Technical_Evaluations!C:L, 7, FALSE), "")
</f>
        <v/>
      </c>
      <c r="I5" s="20" t="str">
        <f>IFERROR(VLOOKUP(A5, 'GD Evaluations'!A:G, 7, FALSE), "")</f>
        <v/>
      </c>
      <c r="J5" s="20">
        <f t="shared" si="1"/>
        <v>0</v>
      </c>
      <c r="K5" s="20">
        <f t="shared" si="2"/>
        <v>0</v>
      </c>
    </row>
    <row r="6">
      <c r="A6" s="15" t="s">
        <v>197</v>
      </c>
      <c r="B6" s="16" t="s">
        <v>198</v>
      </c>
      <c r="C6" s="18" t="s">
        <v>38</v>
      </c>
      <c r="D6" s="18" t="s">
        <v>52</v>
      </c>
      <c r="E6" s="19" t="str">
        <f>IF(A6&lt;&gt;"", IF(COUNTIF(Technical_Evaluations!C:C, A6), "Present", "Absent"), "")</f>
        <v>Absent</v>
      </c>
      <c r="F6" s="19" t="str">
        <f>IF(A6&lt;&gt;"", IF(COUNTIF(Technical_Evaluations!C:C, A6), "Present", "Absent"), "")
</f>
        <v>Absent</v>
      </c>
      <c r="G6" s="20" t="str">
        <f>IFERROR(VLOOKUP(A6, SoftSkills_Evaluations!C:L, 8, FALSE), "")</f>
        <v/>
      </c>
      <c r="H6" s="20" t="str">
        <f>IFERROR(VLOOKUP(A6, Technical_Evaluations!C:L, 7, FALSE), "")
</f>
        <v/>
      </c>
      <c r="I6" s="20" t="str">
        <f>IFERROR(VLOOKUP(A6, 'GD Evaluations'!A:G, 7, FALSE), "")</f>
        <v/>
      </c>
      <c r="J6" s="20">
        <f t="shared" si="1"/>
        <v>0</v>
      </c>
      <c r="K6" s="20">
        <f t="shared" si="2"/>
        <v>0</v>
      </c>
    </row>
    <row r="7">
      <c r="A7" s="15" t="s">
        <v>133</v>
      </c>
      <c r="B7" s="16" t="s">
        <v>208</v>
      </c>
      <c r="C7" s="18" t="s">
        <v>38</v>
      </c>
      <c r="D7" s="18" t="s">
        <v>59</v>
      </c>
      <c r="E7" s="19" t="str">
        <f>IF(A7&lt;&gt;"", IF(COUNTIF(Technical_Evaluations!C:C, A7), "Present", "Absent"), "")</f>
        <v>Present</v>
      </c>
      <c r="F7" s="19" t="str">
        <f>IF(A7&lt;&gt;"", IF(COUNTIF(Technical_Evaluations!C:C, A7), "Present", "Absent"), "")
</f>
        <v>Present</v>
      </c>
      <c r="G7" s="20">
        <f>IFERROR(VLOOKUP(A7, SoftSkills_Evaluations!C:L, 8, FALSE), "")</f>
        <v>96</v>
      </c>
      <c r="H7" s="20">
        <f>IFERROR(VLOOKUP(A7, Technical_Evaluations!C:L, 7, FALSE), "")
</f>
        <v>89.4</v>
      </c>
      <c r="I7" s="20">
        <f>IFERROR(VLOOKUP(A7, 'GD Evaluations'!A:G, 7, FALSE), "")</f>
        <v>51</v>
      </c>
      <c r="J7" s="20">
        <f t="shared" si="1"/>
        <v>78.8</v>
      </c>
      <c r="K7" s="20">
        <f t="shared" si="2"/>
        <v>73.5</v>
      </c>
    </row>
    <row r="8">
      <c r="A8" s="15" t="s">
        <v>100</v>
      </c>
      <c r="B8" s="16" t="s">
        <v>215</v>
      </c>
      <c r="C8" s="18" t="s">
        <v>38</v>
      </c>
      <c r="D8" s="18" t="s">
        <v>52</v>
      </c>
      <c r="E8" s="19" t="str">
        <f>IF(A8&lt;&gt;"", IF(COUNTIF(Technical_Evaluations!C:C, A8), "Present", "Absent"), "")</f>
        <v>Present</v>
      </c>
      <c r="F8" s="19" t="str">
        <f>IF(A8&lt;&gt;"", IF(COUNTIF(Technical_Evaluations!C:C, A8), "Present", "Absent"), "")
</f>
        <v>Present</v>
      </c>
      <c r="G8" s="20">
        <f>IFERROR(VLOOKUP(A8, SoftSkills_Evaluations!C:L, 8, FALSE), "")</f>
        <v>64.6</v>
      </c>
      <c r="H8" s="20">
        <f>IFERROR(VLOOKUP(A8, Technical_Evaluations!C:L, 7, FALSE), "")
</f>
        <v>55.2</v>
      </c>
      <c r="I8" s="20">
        <f>IFERROR(VLOOKUP(A8, 'GD Evaluations'!A:G, 7, FALSE), "")</f>
        <v>66</v>
      </c>
      <c r="J8" s="20">
        <f t="shared" si="1"/>
        <v>61.93333333</v>
      </c>
      <c r="K8" s="20">
        <f t="shared" si="2"/>
        <v>65.3</v>
      </c>
    </row>
    <row r="9">
      <c r="A9" s="21" t="s">
        <v>235</v>
      </c>
      <c r="B9" s="18" t="s">
        <v>236</v>
      </c>
      <c r="C9" s="18" t="s">
        <v>88</v>
      </c>
      <c r="D9" s="18" t="s">
        <v>39</v>
      </c>
      <c r="E9" s="19" t="str">
        <f>IF(A9&lt;&gt;"", IF(COUNTIF(Technical_Evaluations!C:C, A9), "Present", "Absent"), "")</f>
        <v>Absent</v>
      </c>
      <c r="F9" s="19" t="str">
        <f>IF(A9&lt;&gt;"", IF(COUNTIF(Technical_Evaluations!C:C, A9), "Present", "Absent"), "")
</f>
        <v>Absent</v>
      </c>
      <c r="G9" s="20" t="str">
        <f>IFERROR(VLOOKUP(A9, SoftSkills_Evaluations!C:L, 8, FALSE), "")</f>
        <v/>
      </c>
      <c r="H9" s="20" t="str">
        <f>IFERROR(VLOOKUP(A9, Technical_Evaluations!C:L, 7, FALSE), "")
</f>
        <v/>
      </c>
      <c r="I9" s="20" t="str">
        <f>IFERROR(VLOOKUP(A9, 'GD Evaluations'!A:G, 7, FALSE), "")</f>
        <v/>
      </c>
      <c r="J9" s="20">
        <f t="shared" si="1"/>
        <v>0</v>
      </c>
      <c r="K9" s="20">
        <f t="shared" si="2"/>
        <v>0</v>
      </c>
    </row>
    <row r="10">
      <c r="A10" s="15" t="s">
        <v>70</v>
      </c>
      <c r="B10" s="16" t="s">
        <v>257</v>
      </c>
      <c r="C10" s="18" t="s">
        <v>38</v>
      </c>
      <c r="D10" s="18" t="s">
        <v>52</v>
      </c>
      <c r="E10" s="19" t="str">
        <f>IF(A10&lt;&gt;"", IF(COUNTIF(Technical_Evaluations!C:C, A10), "Present", "Absent"), "")</f>
        <v>Present</v>
      </c>
      <c r="F10" s="19" t="str">
        <f>IF(A10&lt;&gt;"", IF(COUNTIF(Technical_Evaluations!C:C, A10), "Present", "Absent"), "")
</f>
        <v>Present</v>
      </c>
      <c r="G10" s="20">
        <f>IFERROR(VLOOKUP(A10, SoftSkills_Evaluations!C:L, 8, FALSE), "")</f>
        <v>71.6</v>
      </c>
      <c r="H10" s="20">
        <f>IFERROR(VLOOKUP(A10, Technical_Evaluations!C:L, 7, FALSE), "")
</f>
        <v>51</v>
      </c>
      <c r="I10" s="20">
        <f>IFERROR(VLOOKUP(A10, 'GD Evaluations'!A:G, 7, FALSE), "")</f>
        <v>50</v>
      </c>
      <c r="J10" s="20">
        <f t="shared" si="1"/>
        <v>57.53333333</v>
      </c>
      <c r="K10" s="20">
        <f t="shared" si="2"/>
        <v>60.8</v>
      </c>
    </row>
    <row r="11">
      <c r="A11" s="15" t="s">
        <v>268</v>
      </c>
      <c r="B11" s="16" t="s">
        <v>269</v>
      </c>
      <c r="C11" s="18" t="s">
        <v>51</v>
      </c>
      <c r="D11" s="18" t="s">
        <v>52</v>
      </c>
      <c r="E11" s="19" t="str">
        <f>IF(A11&lt;&gt;"", IF(COUNTIF(Technical_Evaluations!C:C, A11), "Present", "Absent"), "")</f>
        <v>Absent</v>
      </c>
      <c r="F11" s="19" t="str">
        <f>IF(A11&lt;&gt;"", IF(COUNTIF(Technical_Evaluations!C:C, A11), "Present", "Absent"), "")
</f>
        <v>Absent</v>
      </c>
      <c r="G11" s="20" t="str">
        <f>IFERROR(VLOOKUP(A11, SoftSkills_Evaluations!C:L, 8, FALSE), "")</f>
        <v/>
      </c>
      <c r="H11" s="20" t="str">
        <f>IFERROR(VLOOKUP(A11, Technical_Evaluations!C:L, 7, FALSE), "")
</f>
        <v/>
      </c>
      <c r="I11" s="20" t="str">
        <f>IFERROR(VLOOKUP(A11, 'GD Evaluations'!A:G, 7, FALSE), "")</f>
        <v/>
      </c>
      <c r="J11" s="20">
        <f t="shared" si="1"/>
        <v>0</v>
      </c>
      <c r="K11" s="20">
        <f t="shared" si="2"/>
        <v>0</v>
      </c>
    </row>
    <row r="12">
      <c r="A12" s="15" t="s">
        <v>279</v>
      </c>
      <c r="B12" s="16" t="s">
        <v>282</v>
      </c>
      <c r="C12" s="18" t="s">
        <v>53</v>
      </c>
      <c r="D12" s="18" t="s">
        <v>59</v>
      </c>
      <c r="E12" s="19" t="str">
        <f>IF(A12&lt;&gt;"", IF(COUNTIF(Technical_Evaluations!C:C, A12), "Present", "Absent"), "")</f>
        <v>Absent</v>
      </c>
      <c r="F12" s="19" t="str">
        <f>IF(A12&lt;&gt;"", IF(COUNTIF(Technical_Evaluations!C:C, A12), "Present", "Absent"), "")
</f>
        <v>Absent</v>
      </c>
      <c r="G12" s="20" t="str">
        <f>IFERROR(VLOOKUP(A12, SoftSkills_Evaluations!C:L, 8, FALSE), "")</f>
        <v/>
      </c>
      <c r="H12" s="20" t="str">
        <f>IFERROR(VLOOKUP(A12, Technical_Evaluations!C:L, 7, FALSE), "")
</f>
        <v/>
      </c>
      <c r="I12" s="20" t="str">
        <f>IFERROR(VLOOKUP(A12, 'GD Evaluations'!A:G, 7, FALSE), "")</f>
        <v/>
      </c>
      <c r="J12" s="20">
        <f t="shared" si="1"/>
        <v>0</v>
      </c>
      <c r="K12" s="20">
        <f t="shared" si="2"/>
        <v>0</v>
      </c>
    </row>
    <row r="13">
      <c r="A13" s="15" t="s">
        <v>45</v>
      </c>
      <c r="B13" s="16" t="s">
        <v>296</v>
      </c>
      <c r="C13" s="18" t="s">
        <v>38</v>
      </c>
      <c r="D13" s="18" t="s">
        <v>52</v>
      </c>
      <c r="E13" s="19" t="str">
        <f>IF(A13&lt;&gt;"", IF(COUNTIF(Technical_Evaluations!C:C, A13), "Present", "Absent"), "")</f>
        <v>Absent</v>
      </c>
      <c r="F13" s="19" t="str">
        <f>IF(A13&lt;&gt;"", IF(COUNTIF(Technical_Evaluations!C:C, A13), "Present", "Absent"), "")
</f>
        <v>Absent</v>
      </c>
      <c r="G13" s="20">
        <f>IFERROR(VLOOKUP(A13, SoftSkills_Evaluations!C:L, 8, FALSE), "")</f>
        <v>80</v>
      </c>
      <c r="H13" s="20" t="str">
        <f>IFERROR(VLOOKUP(A13, Technical_Evaluations!C:L, 7, FALSE), "")
</f>
        <v/>
      </c>
      <c r="I13" s="20">
        <f>IFERROR(VLOOKUP(A13, 'GD Evaluations'!A:G, 7, FALSE), "")</f>
        <v>82</v>
      </c>
      <c r="J13" s="20">
        <f t="shared" si="1"/>
        <v>54</v>
      </c>
      <c r="K13" s="20">
        <f t="shared" si="2"/>
        <v>81</v>
      </c>
    </row>
    <row r="14">
      <c r="A14" s="15" t="s">
        <v>313</v>
      </c>
      <c r="B14" s="16" t="s">
        <v>315</v>
      </c>
      <c r="C14" s="18" t="s">
        <v>51</v>
      </c>
      <c r="D14" s="18" t="s">
        <v>39</v>
      </c>
      <c r="E14" s="19" t="str">
        <f>IF(A14&lt;&gt;"", IF(COUNTIF(Technical_Evaluations!C:C, A14), "Present", "Absent"), "")</f>
        <v>Absent</v>
      </c>
      <c r="F14" s="19" t="str">
        <f>IF(A14&lt;&gt;"", IF(COUNTIF(Technical_Evaluations!C:C, A14), "Present", "Absent"), "")
</f>
        <v>Absent</v>
      </c>
      <c r="G14" s="20" t="str">
        <f>IFERROR(VLOOKUP(A14, SoftSkills_Evaluations!C:L, 8, FALSE), "")</f>
        <v/>
      </c>
      <c r="H14" s="20" t="str">
        <f>IFERROR(VLOOKUP(A14, Technical_Evaluations!C:L, 7, FALSE), "")
</f>
        <v/>
      </c>
      <c r="I14" s="20" t="str">
        <f>IFERROR(VLOOKUP(A14, 'GD Evaluations'!A:G, 7, FALSE), "")</f>
        <v/>
      </c>
      <c r="J14" s="20">
        <f t="shared" si="1"/>
        <v>0</v>
      </c>
      <c r="K14" s="20">
        <f t="shared" si="2"/>
        <v>0</v>
      </c>
    </row>
    <row r="15">
      <c r="A15" s="15" t="s">
        <v>327</v>
      </c>
      <c r="B15" s="16" t="s">
        <v>330</v>
      </c>
      <c r="C15" s="18" t="s">
        <v>38</v>
      </c>
      <c r="D15" s="18" t="s">
        <v>39</v>
      </c>
      <c r="E15" s="19" t="str">
        <f>IF(A15&lt;&gt;"", IF(COUNTIF(Technical_Evaluations!C:C, A15), "Present", "Absent"), "")</f>
        <v>Absent</v>
      </c>
      <c r="F15" s="19" t="str">
        <f>IF(A15&lt;&gt;"", IF(COUNTIF(Technical_Evaluations!C:C, A15), "Present", "Absent"), "")
</f>
        <v>Absent</v>
      </c>
      <c r="G15" s="20" t="str">
        <f>IFERROR(VLOOKUP(A15, SoftSkills_Evaluations!C:L, 8, FALSE), "")</f>
        <v/>
      </c>
      <c r="H15" s="20" t="str">
        <f>IFERROR(VLOOKUP(A15, Technical_Evaluations!C:L, 7, FALSE), "")
</f>
        <v/>
      </c>
      <c r="I15" s="20" t="str">
        <f>IFERROR(VLOOKUP(A15, 'GD Evaluations'!A:G, 7, FALSE), "")</f>
        <v/>
      </c>
      <c r="J15" s="20">
        <f t="shared" si="1"/>
        <v>0</v>
      </c>
      <c r="K15" s="20">
        <f t="shared" si="2"/>
        <v>0</v>
      </c>
    </row>
    <row r="16">
      <c r="A16" s="15" t="s">
        <v>338</v>
      </c>
      <c r="B16" s="16" t="s">
        <v>339</v>
      </c>
      <c r="C16" s="18" t="s">
        <v>51</v>
      </c>
      <c r="D16" s="18" t="s">
        <v>59</v>
      </c>
      <c r="E16" s="19" t="str">
        <f>IF(A16&lt;&gt;"", IF(COUNTIF(Technical_Evaluations!C:C, A16), "Present", "Absent"), "")</f>
        <v>Absent</v>
      </c>
      <c r="F16" s="19" t="str">
        <f>IF(A16&lt;&gt;"", IF(COUNTIF(Technical_Evaluations!C:C, A16), "Present", "Absent"), "")
</f>
        <v>Absent</v>
      </c>
      <c r="G16" s="20" t="str">
        <f>IFERROR(VLOOKUP(A16, SoftSkills_Evaluations!C:L, 8, FALSE), "")</f>
        <v/>
      </c>
      <c r="H16" s="20" t="str">
        <f>IFERROR(VLOOKUP(A16, Technical_Evaluations!C:L, 7, FALSE), "")
</f>
        <v/>
      </c>
      <c r="I16" s="20" t="str">
        <f>IFERROR(VLOOKUP(A16, 'GD Evaluations'!A:G, 7, FALSE), "")</f>
        <v/>
      </c>
      <c r="J16" s="20">
        <f t="shared" si="1"/>
        <v>0</v>
      </c>
      <c r="K16" s="20">
        <f t="shared" si="2"/>
        <v>0</v>
      </c>
    </row>
    <row r="17">
      <c r="A17" s="15" t="s">
        <v>344</v>
      </c>
      <c r="B17" s="16" t="s">
        <v>345</v>
      </c>
      <c r="C17" s="18" t="s">
        <v>51</v>
      </c>
      <c r="D17" s="18" t="s">
        <v>52</v>
      </c>
      <c r="E17" s="19" t="str">
        <f>IF(A17&lt;&gt;"", IF(COUNTIF(Technical_Evaluations!C:C, A17), "Present", "Absent"), "")</f>
        <v>Absent</v>
      </c>
      <c r="F17" s="19" t="str">
        <f>IF(A17&lt;&gt;"", IF(COUNTIF(Technical_Evaluations!C:C, A17), "Present", "Absent"), "")
</f>
        <v>Absent</v>
      </c>
      <c r="G17" s="20" t="str">
        <f>IFERROR(VLOOKUP(A17, SoftSkills_Evaluations!C:L, 8, FALSE), "")</f>
        <v/>
      </c>
      <c r="H17" s="20" t="str">
        <f>IFERROR(VLOOKUP(A17, Technical_Evaluations!C:L, 7, FALSE), "")
</f>
        <v/>
      </c>
      <c r="I17" s="20" t="str">
        <f>IFERROR(VLOOKUP(A17, 'GD Evaluations'!A:G, 7, FALSE), "")</f>
        <v/>
      </c>
      <c r="J17" s="20">
        <f t="shared" si="1"/>
        <v>0</v>
      </c>
      <c r="K17" s="20">
        <f t="shared" si="2"/>
        <v>0</v>
      </c>
    </row>
    <row r="18">
      <c r="A18" s="15" t="s">
        <v>325</v>
      </c>
      <c r="B18" s="16" t="s">
        <v>355</v>
      </c>
      <c r="C18" s="18" t="s">
        <v>51</v>
      </c>
      <c r="D18" s="18" t="s">
        <v>39</v>
      </c>
      <c r="E18" s="19" t="str">
        <f>IF(A18&lt;&gt;"", IF(COUNTIF(Technical_Evaluations!C:C, A18), "Present", "Absent"), "")</f>
        <v>Present</v>
      </c>
      <c r="F18" s="19" t="str">
        <f>IF(A18&lt;&gt;"", IF(COUNTIF(Technical_Evaluations!C:C, A18), "Present", "Absent"), "")
</f>
        <v>Present</v>
      </c>
      <c r="G18" s="20">
        <f>IFERROR(VLOOKUP(A18, SoftSkills_Evaluations!C:L, 8, FALSE), "")</f>
        <v>65.4</v>
      </c>
      <c r="H18" s="20">
        <f>IFERROR(VLOOKUP(A18, Technical_Evaluations!C:L, 7, FALSE), "")
</f>
        <v>59.6</v>
      </c>
      <c r="I18" s="20" t="str">
        <f>IFERROR(VLOOKUP(A18, 'GD Evaluations'!A:G, 7, FALSE), "")</f>
        <v/>
      </c>
      <c r="J18" s="20">
        <f t="shared" si="1"/>
        <v>41.66666667</v>
      </c>
      <c r="K18" s="20">
        <f t="shared" si="2"/>
        <v>32.7</v>
      </c>
    </row>
    <row r="19">
      <c r="A19" s="16" t="s">
        <v>368</v>
      </c>
      <c r="B19" s="16" t="s">
        <v>369</v>
      </c>
      <c r="C19" s="18" t="s">
        <v>38</v>
      </c>
      <c r="D19" s="18" t="s">
        <v>59</v>
      </c>
      <c r="E19" s="19" t="str">
        <f>IF(A19&lt;&gt;"", IF(COUNTIF(Technical_Evaluations!C:C, A19), "Present", "Absent"), "")</f>
        <v>Absent</v>
      </c>
      <c r="F19" s="19" t="str">
        <f>IF(A19&lt;&gt;"", IF(COUNTIF(Technical_Evaluations!C:C, A19), "Present", "Absent"), "")
</f>
        <v>Absent</v>
      </c>
      <c r="G19" s="20" t="str">
        <f>IFERROR(VLOOKUP(A19, SoftSkills_Evaluations!C:L, 8, FALSE), "")</f>
        <v/>
      </c>
      <c r="H19" s="20" t="str">
        <f>IFERROR(VLOOKUP(A19, Technical_Evaluations!C:L, 7, FALSE), "")
</f>
        <v/>
      </c>
      <c r="I19" s="20" t="str">
        <f>IFERROR(VLOOKUP(A19, 'GD Evaluations'!A:G, 7, FALSE), "")</f>
        <v/>
      </c>
      <c r="J19" s="20">
        <f t="shared" si="1"/>
        <v>0</v>
      </c>
      <c r="K19" s="20">
        <f t="shared" si="2"/>
        <v>0</v>
      </c>
    </row>
    <row r="20">
      <c r="A20" s="16" t="s">
        <v>246</v>
      </c>
      <c r="B20" s="16" t="s">
        <v>374</v>
      </c>
      <c r="C20" s="18" t="s">
        <v>53</v>
      </c>
      <c r="D20" s="18" t="s">
        <v>59</v>
      </c>
      <c r="E20" s="19" t="str">
        <f>IF(A20&lt;&gt;"", IF(COUNTIF(Technical_Evaluations!C:C, A20), "Present", "Absent"), "")</f>
        <v>Absent</v>
      </c>
      <c r="F20" s="19" t="str">
        <f>IF(A20&lt;&gt;"", IF(COUNTIF(Technical_Evaluations!C:C, A20), "Present", "Absent"), "")
</f>
        <v>Absent</v>
      </c>
      <c r="G20" s="20">
        <f>IFERROR(VLOOKUP(A20, SoftSkills_Evaluations!C:L, 8, FALSE), "")</f>
        <v>77</v>
      </c>
      <c r="H20" s="20" t="str">
        <f>IFERROR(VLOOKUP(A20, Technical_Evaluations!C:L, 7, FALSE), "")
</f>
        <v/>
      </c>
      <c r="I20" s="20">
        <f>IFERROR(VLOOKUP(A20, 'GD Evaluations'!A:G, 7, FALSE), "")</f>
        <v>76</v>
      </c>
      <c r="J20" s="20">
        <f t="shared" si="1"/>
        <v>51</v>
      </c>
      <c r="K20" s="20">
        <f t="shared" si="2"/>
        <v>76.5</v>
      </c>
    </row>
    <row r="21">
      <c r="A21" s="16" t="s">
        <v>385</v>
      </c>
      <c r="B21" s="16" t="s">
        <v>387</v>
      </c>
      <c r="C21" s="18" t="s">
        <v>51</v>
      </c>
      <c r="D21" s="18" t="s">
        <v>52</v>
      </c>
      <c r="E21" s="19" t="str">
        <f>IF(A21&lt;&gt;"", IF(COUNTIF(Technical_Evaluations!C:C, A21), "Present", "Absent"), "")</f>
        <v>Absent</v>
      </c>
      <c r="F21" s="19" t="str">
        <f>IF(A21&lt;&gt;"", IF(COUNTIF(Technical_Evaluations!C:C, A21), "Present", "Absent"), "")
</f>
        <v>Absent</v>
      </c>
      <c r="G21" s="20" t="str">
        <f>IFERROR(VLOOKUP(A21, SoftSkills_Evaluations!C:L, 8, FALSE), "")</f>
        <v/>
      </c>
      <c r="H21" s="20" t="str">
        <f>IFERROR(VLOOKUP(A21, Technical_Evaluations!C:L, 7, FALSE), "")
</f>
        <v/>
      </c>
      <c r="I21" s="20" t="str">
        <f>IFERROR(VLOOKUP(A21, 'GD Evaluations'!A:G, 7, FALSE), "")</f>
        <v/>
      </c>
      <c r="J21" s="20">
        <f t="shared" si="1"/>
        <v>0</v>
      </c>
      <c r="K21" s="20">
        <f t="shared" si="2"/>
        <v>0</v>
      </c>
    </row>
    <row r="22">
      <c r="A22" s="16" t="s">
        <v>111</v>
      </c>
      <c r="B22" s="16" t="s">
        <v>396</v>
      </c>
      <c r="C22" s="18" t="s">
        <v>53</v>
      </c>
      <c r="D22" s="18" t="s">
        <v>39</v>
      </c>
      <c r="E22" s="19" t="str">
        <f>IF(A22&lt;&gt;"", IF(COUNTIF(Technical_Evaluations!C:C, A22), "Present", "Absent"), "")</f>
        <v>Present</v>
      </c>
      <c r="F22" s="19" t="str">
        <f>IF(A22&lt;&gt;"", IF(COUNTIF(Technical_Evaluations!C:C, A22), "Present", "Absent"), "")
</f>
        <v>Present</v>
      </c>
      <c r="G22" s="20" t="str">
        <f>IFERROR(VLOOKUP(A22, SoftSkills_Evaluations!C:L, 8, FALSE), "")</f>
        <v/>
      </c>
      <c r="H22" s="20">
        <f>IFERROR(VLOOKUP(A22, Technical_Evaluations!C:L, 7, FALSE), "")
</f>
        <v>89</v>
      </c>
      <c r="I22" s="20">
        <f>IFERROR(VLOOKUP(A22, 'GD Evaluations'!A:G, 7, FALSE), "")</f>
        <v>18</v>
      </c>
      <c r="J22" s="20">
        <f t="shared" si="1"/>
        <v>35.66666667</v>
      </c>
      <c r="K22" s="20">
        <f t="shared" si="2"/>
        <v>9</v>
      </c>
    </row>
    <row r="23">
      <c r="A23" s="16" t="s">
        <v>159</v>
      </c>
      <c r="B23" s="16" t="s">
        <v>406</v>
      </c>
      <c r="C23" s="18" t="s">
        <v>38</v>
      </c>
      <c r="D23" s="18" t="s">
        <v>52</v>
      </c>
      <c r="E23" s="19" t="str">
        <f>IF(A23&lt;&gt;"", IF(COUNTIF(Technical_Evaluations!C:C, A23), "Present", "Absent"), "")</f>
        <v>Present</v>
      </c>
      <c r="F23" s="19" t="str">
        <f>IF(A23&lt;&gt;"", IF(COUNTIF(Technical_Evaluations!C:C, A23), "Present", "Absent"), "")
</f>
        <v>Present</v>
      </c>
      <c r="G23" s="20">
        <f>IFERROR(VLOOKUP(A23, SoftSkills_Evaluations!C:L, 8, FALSE), "")</f>
        <v>60.2</v>
      </c>
      <c r="H23" s="20">
        <f>IFERROR(VLOOKUP(A23, Technical_Evaluations!C:L, 7, FALSE), "")
</f>
        <v>60.2</v>
      </c>
      <c r="I23" s="20">
        <f>IFERROR(VLOOKUP(A23, 'GD Evaluations'!A:G, 7, FALSE), "")</f>
        <v>51</v>
      </c>
      <c r="J23" s="20">
        <f t="shared" si="1"/>
        <v>57.13333333</v>
      </c>
      <c r="K23" s="20">
        <f t="shared" si="2"/>
        <v>55.6</v>
      </c>
    </row>
    <row r="24">
      <c r="A24" s="16" t="s">
        <v>41</v>
      </c>
      <c r="B24" s="16" t="s">
        <v>411</v>
      </c>
      <c r="C24" s="18" t="s">
        <v>38</v>
      </c>
      <c r="D24" s="18" t="s">
        <v>39</v>
      </c>
      <c r="E24" s="19" t="str">
        <f>IF(A24&lt;&gt;"", IF(COUNTIF(Technical_Evaluations!C:C, A24), "Present", "Absent"), "")</f>
        <v>Present</v>
      </c>
      <c r="F24" s="19" t="str">
        <f>IF(A24&lt;&gt;"", IF(COUNTIF(Technical_Evaluations!C:C, A24), "Present", "Absent"), "")
</f>
        <v>Present</v>
      </c>
      <c r="G24" s="20">
        <f>IFERROR(VLOOKUP(A24, SoftSkills_Evaluations!C:L, 8, FALSE), "")</f>
        <v>85.8</v>
      </c>
      <c r="H24" s="20">
        <f>IFERROR(VLOOKUP(A24, Technical_Evaluations!C:L, 7, FALSE), "")
</f>
        <v>80.4</v>
      </c>
      <c r="I24" s="20">
        <f>IFERROR(VLOOKUP(A24, 'GD Evaluations'!A:G, 7, FALSE), "")</f>
        <v>50</v>
      </c>
      <c r="J24" s="20">
        <f t="shared" si="1"/>
        <v>72.06666667</v>
      </c>
      <c r="K24" s="20">
        <f t="shared" si="2"/>
        <v>67.9</v>
      </c>
    </row>
    <row r="25">
      <c r="A25" s="16" t="s">
        <v>418</v>
      </c>
      <c r="B25" s="16" t="s">
        <v>420</v>
      </c>
      <c r="C25" s="18" t="s">
        <v>51</v>
      </c>
      <c r="D25" s="18" t="s">
        <v>59</v>
      </c>
      <c r="E25" s="19" t="str">
        <f>IF(A25&lt;&gt;"", IF(COUNTIF(Technical_Evaluations!C:C, A25), "Present", "Absent"), "")</f>
        <v>Absent</v>
      </c>
      <c r="F25" s="19" t="str">
        <f>IF(A25&lt;&gt;"", IF(COUNTIF(Technical_Evaluations!C:C, A25), "Present", "Absent"), "")
</f>
        <v>Absent</v>
      </c>
      <c r="G25" s="20" t="str">
        <f>IFERROR(VLOOKUP(A25, SoftSkills_Evaluations!C:L, 8, FALSE), "")</f>
        <v/>
      </c>
      <c r="H25" s="20" t="str">
        <f>IFERROR(VLOOKUP(A25, Technical_Evaluations!C:L, 7, FALSE), "")
</f>
        <v/>
      </c>
      <c r="I25" s="20" t="str">
        <f>IFERROR(VLOOKUP(A25, 'GD Evaluations'!A:G, 7, FALSE), "")</f>
        <v/>
      </c>
      <c r="J25" s="20">
        <f t="shared" si="1"/>
        <v>0</v>
      </c>
      <c r="K25" s="20">
        <f t="shared" si="2"/>
        <v>0</v>
      </c>
    </row>
    <row r="26">
      <c r="A26" s="16" t="s">
        <v>310</v>
      </c>
      <c r="B26" s="16" t="s">
        <v>428</v>
      </c>
      <c r="C26" s="18" t="s">
        <v>51</v>
      </c>
      <c r="D26" s="18" t="s">
        <v>39</v>
      </c>
      <c r="E26" s="19" t="str">
        <f>IF(A26&lt;&gt;"", IF(COUNTIF(Technical_Evaluations!C:C, A26), "Present", "Absent"), "")</f>
        <v>Present</v>
      </c>
      <c r="F26" s="19" t="str">
        <f>IF(A26&lt;&gt;"", IF(COUNTIF(Technical_Evaluations!C:C, A26), "Present", "Absent"), "")
</f>
        <v>Present</v>
      </c>
      <c r="G26" s="20">
        <f>IFERROR(VLOOKUP(A26, SoftSkills_Evaluations!C:L, 8, FALSE), "")</f>
        <v>77.2</v>
      </c>
      <c r="H26" s="20">
        <f>IFERROR(VLOOKUP(A26, Technical_Evaluations!C:L, 7, FALSE), "")
</f>
        <v>61.8</v>
      </c>
      <c r="I26" s="20">
        <f>IFERROR(VLOOKUP(A26, 'GD Evaluations'!A:G, 7, FALSE), "")</f>
        <v>20</v>
      </c>
      <c r="J26" s="20">
        <f t="shared" si="1"/>
        <v>53</v>
      </c>
      <c r="K26" s="20">
        <f t="shared" si="2"/>
        <v>48.6</v>
      </c>
    </row>
    <row r="27">
      <c r="A27" s="16" t="s">
        <v>250</v>
      </c>
      <c r="B27" s="16" t="s">
        <v>432</v>
      </c>
      <c r="C27" s="18" t="s">
        <v>53</v>
      </c>
      <c r="D27" s="18" t="s">
        <v>39</v>
      </c>
      <c r="E27" s="19" t="str">
        <f>IF(A27&lt;&gt;"", IF(COUNTIF(Technical_Evaluations!C:C, A27), "Present", "Absent"), "")</f>
        <v>Present</v>
      </c>
      <c r="F27" s="19" t="str">
        <f>IF(A27&lt;&gt;"", IF(COUNTIF(Technical_Evaluations!C:C, A27), "Present", "Absent"), "")
</f>
        <v>Present</v>
      </c>
      <c r="G27" s="20">
        <f>IFERROR(VLOOKUP(A27, SoftSkills_Evaluations!C:L, 8, FALSE), "")</f>
        <v>62.8</v>
      </c>
      <c r="H27" s="20">
        <f>IFERROR(VLOOKUP(A27, Technical_Evaluations!C:L, 7, FALSE), "")
</f>
        <v>82.2</v>
      </c>
      <c r="I27" s="20">
        <f>IFERROR(VLOOKUP(A27, 'GD Evaluations'!A:G, 7, FALSE), "")</f>
        <v>19</v>
      </c>
      <c r="J27" s="20">
        <f t="shared" si="1"/>
        <v>54.66666667</v>
      </c>
      <c r="K27" s="20">
        <f t="shared" si="2"/>
        <v>40.9</v>
      </c>
    </row>
    <row r="28">
      <c r="A28" s="16" t="s">
        <v>441</v>
      </c>
      <c r="B28" s="16" t="s">
        <v>442</v>
      </c>
      <c r="C28" s="18" t="s">
        <v>51</v>
      </c>
      <c r="D28" s="18" t="s">
        <v>39</v>
      </c>
      <c r="E28" s="19" t="str">
        <f>IF(A28&lt;&gt;"", IF(COUNTIF(Technical_Evaluations!C:C, A28), "Present", "Absent"), "")</f>
        <v>Absent</v>
      </c>
      <c r="F28" s="19" t="str">
        <f>IF(A28&lt;&gt;"", IF(COUNTIF(Technical_Evaluations!C:C, A28), "Present", "Absent"), "")
</f>
        <v>Absent</v>
      </c>
      <c r="G28" s="20" t="str">
        <f>IFERROR(VLOOKUP(A28, SoftSkills_Evaluations!C:L, 8, FALSE), "")</f>
        <v/>
      </c>
      <c r="H28" s="20" t="str">
        <f>IFERROR(VLOOKUP(A28, Technical_Evaluations!C:L, 7, FALSE), "")
</f>
        <v/>
      </c>
      <c r="I28" s="20" t="str">
        <f>IFERROR(VLOOKUP(A28, 'GD Evaluations'!A:G, 7, FALSE), "")</f>
        <v/>
      </c>
      <c r="J28" s="20">
        <f t="shared" si="1"/>
        <v>0</v>
      </c>
      <c r="K28" s="20">
        <f t="shared" si="2"/>
        <v>0</v>
      </c>
    </row>
    <row r="29">
      <c r="A29" s="16" t="s">
        <v>443</v>
      </c>
      <c r="B29" s="16" t="s">
        <v>444</v>
      </c>
      <c r="C29" s="18" t="s">
        <v>53</v>
      </c>
      <c r="D29" s="18" t="s">
        <v>52</v>
      </c>
      <c r="E29" s="19" t="str">
        <f>IF(A29&lt;&gt;"", IF(COUNTIF(Technical_Evaluations!C:C, A29), "Present", "Absent"), "")</f>
        <v>Absent</v>
      </c>
      <c r="F29" s="19" t="str">
        <f>IF(A29&lt;&gt;"", IF(COUNTIF(Technical_Evaluations!C:C, A29), "Present", "Absent"), "")
</f>
        <v>Absent</v>
      </c>
      <c r="G29" s="20" t="str">
        <f>IFERROR(VLOOKUP(A29, SoftSkills_Evaluations!C:L, 8, FALSE), "")</f>
        <v/>
      </c>
      <c r="H29" s="20" t="str">
        <f>IFERROR(VLOOKUP(A29, Technical_Evaluations!C:L, 7, FALSE), "")
</f>
        <v/>
      </c>
      <c r="I29" s="20" t="str">
        <f>IFERROR(VLOOKUP(A29, 'GD Evaluations'!A:G, 7, FALSE), "")</f>
        <v/>
      </c>
      <c r="J29" s="20">
        <f t="shared" si="1"/>
        <v>0</v>
      </c>
      <c r="K29" s="20">
        <f t="shared" si="2"/>
        <v>0</v>
      </c>
    </row>
    <row r="30">
      <c r="A30" s="18" t="s">
        <v>55</v>
      </c>
      <c r="B30" s="18" t="s">
        <v>445</v>
      </c>
      <c r="C30" s="18" t="s">
        <v>60</v>
      </c>
      <c r="D30" s="18" t="s">
        <v>62</v>
      </c>
      <c r="E30" s="19" t="str">
        <f>IF(A30&lt;&gt;"", IF(COUNTIF(Technical_Evaluations!C:C, A30), "Present", "Absent"), "")</f>
        <v>Present</v>
      </c>
      <c r="F30" s="19" t="str">
        <f>IF(A30&lt;&gt;"", IF(COUNTIF(Technical_Evaluations!C:C, A30), "Present", "Absent"), "")
</f>
        <v>Present</v>
      </c>
      <c r="G30" s="20">
        <f>IFERROR(VLOOKUP(A30, SoftSkills_Evaluations!C:L, 8, FALSE), "")</f>
        <v>39</v>
      </c>
      <c r="H30" s="20">
        <f>IFERROR(VLOOKUP(A30, Technical_Evaluations!C:L, 7, FALSE), "")
</f>
        <v>65</v>
      </c>
      <c r="I30" s="20">
        <f>IFERROR(VLOOKUP(A30, 'GD Evaluations'!A:G, 7, FALSE), "")</f>
        <v>59</v>
      </c>
      <c r="J30" s="20">
        <f t="shared" si="1"/>
        <v>54.33333333</v>
      </c>
      <c r="K30" s="20">
        <f t="shared" si="2"/>
        <v>49</v>
      </c>
    </row>
    <row r="31">
      <c r="A31" s="18" t="s">
        <v>196</v>
      </c>
      <c r="B31" s="16" t="s">
        <v>446</v>
      </c>
      <c r="C31" s="18" t="s">
        <v>51</v>
      </c>
      <c r="D31" s="18" t="s">
        <v>52</v>
      </c>
      <c r="E31" s="19" t="str">
        <f>IF(A31&lt;&gt;"", IF(COUNTIF(Technical_Evaluations!C:C, A31), "Present", "Absent"), "")</f>
        <v>Present</v>
      </c>
      <c r="F31" s="19" t="str">
        <f>IF(A31&lt;&gt;"", IF(COUNTIF(Technical_Evaluations!C:C, A31), "Present", "Absent"), "")
</f>
        <v>Present</v>
      </c>
      <c r="G31" s="20">
        <f>IFERROR(VLOOKUP(A31, SoftSkills_Evaluations!C:L, 8, FALSE), "")</f>
        <v>72.4</v>
      </c>
      <c r="H31" s="20">
        <f>IFERROR(VLOOKUP(A31, Technical_Evaluations!C:L, 7, FALSE), "")
</f>
        <v>84.8</v>
      </c>
      <c r="I31" s="20">
        <f>IFERROR(VLOOKUP(A31, 'GD Evaluations'!A:G, 7, FALSE), "")</f>
        <v>67</v>
      </c>
      <c r="J31" s="20">
        <f t="shared" si="1"/>
        <v>74.73333333</v>
      </c>
      <c r="K31" s="20">
        <f t="shared" si="2"/>
        <v>69.7</v>
      </c>
    </row>
    <row r="32">
      <c r="A32" s="16" t="s">
        <v>36</v>
      </c>
      <c r="B32" s="16" t="s">
        <v>450</v>
      </c>
      <c r="C32" s="18" t="s">
        <v>38</v>
      </c>
      <c r="D32" s="18" t="s">
        <v>39</v>
      </c>
      <c r="E32" s="19" t="str">
        <f>IF(A32&lt;&gt;"", IF(COUNTIF(Technical_Evaluations!C:C, A32), "Present", "Absent"), "")</f>
        <v>Present</v>
      </c>
      <c r="F32" s="19" t="str">
        <f>IF(A32&lt;&gt;"", IF(COUNTIF(Technical_Evaluations!C:C, A32), "Present", "Absent"), "")
</f>
        <v>Present</v>
      </c>
      <c r="G32" s="20">
        <f>IFERROR(VLOOKUP(A32, SoftSkills_Evaluations!C:L, 8, FALSE), "")</f>
        <v>53.6</v>
      </c>
      <c r="H32" s="20">
        <f>IFERROR(VLOOKUP(A32, Technical_Evaluations!C:L, 7, FALSE), "")
</f>
        <v>74.8</v>
      </c>
      <c r="I32" s="20">
        <f>IFERROR(VLOOKUP(A32, 'GD Evaluations'!A:G, 7, FALSE), "")</f>
        <v>51</v>
      </c>
      <c r="J32" s="20">
        <f t="shared" si="1"/>
        <v>59.8</v>
      </c>
      <c r="K32" s="20">
        <f t="shared" si="2"/>
        <v>52.3</v>
      </c>
    </row>
    <row r="33">
      <c r="A33" s="16" t="s">
        <v>213</v>
      </c>
      <c r="B33" s="16" t="s">
        <v>453</v>
      </c>
      <c r="C33" s="18" t="s">
        <v>53</v>
      </c>
      <c r="D33" s="18" t="s">
        <v>59</v>
      </c>
      <c r="E33" s="19" t="str">
        <f>IF(A33&lt;&gt;"", IF(COUNTIF(Technical_Evaluations!C:C, A33), "Present", "Absent"), "")</f>
        <v>Present</v>
      </c>
      <c r="F33" s="19" t="str">
        <f>IF(A33&lt;&gt;"", IF(COUNTIF(Technical_Evaluations!C:C, A33), "Present", "Absent"), "")
</f>
        <v>Present</v>
      </c>
      <c r="G33" s="20">
        <f>IFERROR(VLOOKUP(A33, SoftSkills_Evaluations!C:L, 8, FALSE), "")</f>
        <v>71.6</v>
      </c>
      <c r="H33" s="20">
        <f>IFERROR(VLOOKUP(A33, Technical_Evaluations!C:L, 7, FALSE), "")
</f>
        <v>43</v>
      </c>
      <c r="I33" s="20">
        <f>IFERROR(VLOOKUP(A33, 'GD Evaluations'!A:G, 7, FALSE), "")</f>
        <v>59</v>
      </c>
      <c r="J33" s="20">
        <f t="shared" si="1"/>
        <v>57.86666667</v>
      </c>
      <c r="K33" s="20">
        <f t="shared" si="2"/>
        <v>65.3</v>
      </c>
    </row>
    <row r="34">
      <c r="A34" s="16" t="s">
        <v>454</v>
      </c>
      <c r="B34" s="16" t="s">
        <v>455</v>
      </c>
      <c r="C34" s="18" t="s">
        <v>38</v>
      </c>
      <c r="D34" s="18" t="s">
        <v>39</v>
      </c>
      <c r="E34" s="19" t="str">
        <f>IF(A34&lt;&gt;"", IF(COUNTIF(Technical_Evaluations!C:C, A34), "Present", "Absent"), "")</f>
        <v>Absent</v>
      </c>
      <c r="F34" s="19" t="str">
        <f>IF(A34&lt;&gt;"", IF(COUNTIF(Technical_Evaluations!C:C, A34), "Present", "Absent"), "")
</f>
        <v>Absent</v>
      </c>
      <c r="G34" s="20" t="str">
        <f>IFERROR(VLOOKUP(A34, SoftSkills_Evaluations!C:L, 8, FALSE), "")</f>
        <v/>
      </c>
      <c r="H34" s="20" t="str">
        <f>IFERROR(VLOOKUP(A34, Technical_Evaluations!C:L, 7, FALSE), "")
</f>
        <v/>
      </c>
      <c r="I34" s="20" t="str">
        <f>IFERROR(VLOOKUP(A34, 'GD Evaluations'!A:G, 7, FALSE), "")</f>
        <v/>
      </c>
      <c r="J34" s="20">
        <f t="shared" si="1"/>
        <v>0</v>
      </c>
      <c r="K34" s="20">
        <f t="shared" si="2"/>
        <v>0</v>
      </c>
    </row>
    <row r="35">
      <c r="A35" s="16" t="s">
        <v>306</v>
      </c>
      <c r="B35" s="16" t="s">
        <v>459</v>
      </c>
      <c r="C35" s="18" t="s">
        <v>51</v>
      </c>
      <c r="D35" s="18" t="s">
        <v>39</v>
      </c>
      <c r="E35" s="19" t="str">
        <f>IF(A35&lt;&gt;"", IF(COUNTIF(Technical_Evaluations!C:C, A35), "Present", "Absent"), "")</f>
        <v>Present</v>
      </c>
      <c r="F35" s="19" t="str">
        <f>IF(A35&lt;&gt;"", IF(COUNTIF(Technical_Evaluations!C:C, A35), "Present", "Absent"), "")
</f>
        <v>Present</v>
      </c>
      <c r="G35" s="20" t="str">
        <f>IFERROR(VLOOKUP(A35, SoftSkills_Evaluations!C:L, 8, FALSE), "")</f>
        <v/>
      </c>
      <c r="H35" s="20">
        <f>IFERROR(VLOOKUP(A35, Technical_Evaluations!C:L, 7, FALSE), "")
</f>
        <v>75.8</v>
      </c>
      <c r="I35" s="20">
        <f>IFERROR(VLOOKUP(A35, 'GD Evaluations'!A:G, 7, FALSE), "")</f>
        <v>19</v>
      </c>
      <c r="J35" s="20">
        <f t="shared" si="1"/>
        <v>31.6</v>
      </c>
      <c r="K35" s="20">
        <f t="shared" si="2"/>
        <v>9.5</v>
      </c>
    </row>
    <row r="36">
      <c r="A36" s="16" t="s">
        <v>464</v>
      </c>
      <c r="B36" s="16" t="s">
        <v>465</v>
      </c>
      <c r="C36" s="18" t="s">
        <v>38</v>
      </c>
      <c r="D36" s="18" t="s">
        <v>39</v>
      </c>
      <c r="E36" s="19" t="str">
        <f>IF(A36&lt;&gt;"", IF(COUNTIF(Technical_Evaluations!C:C, A36), "Present", "Absent"), "")</f>
        <v>Absent</v>
      </c>
      <c r="F36" s="19" t="str">
        <f>IF(A36&lt;&gt;"", IF(COUNTIF(Technical_Evaluations!C:C, A36), "Present", "Absent"), "")
</f>
        <v>Absent</v>
      </c>
      <c r="G36" s="20" t="str">
        <f>IFERROR(VLOOKUP(A36, SoftSkills_Evaluations!C:L, 8, FALSE), "")</f>
        <v/>
      </c>
      <c r="H36" s="20" t="str">
        <f>IFERROR(VLOOKUP(A36, Technical_Evaluations!C:L, 7, FALSE), "")
</f>
        <v/>
      </c>
      <c r="I36" s="20" t="str">
        <f>IFERROR(VLOOKUP(A36, 'GD Evaluations'!A:G, 7, FALSE), "")</f>
        <v/>
      </c>
      <c r="J36" s="20">
        <f t="shared" si="1"/>
        <v>0</v>
      </c>
      <c r="K36" s="20">
        <f t="shared" si="2"/>
        <v>0</v>
      </c>
    </row>
    <row r="37">
      <c r="A37" s="16" t="s">
        <v>200</v>
      </c>
      <c r="B37" s="16" t="s">
        <v>470</v>
      </c>
      <c r="C37" s="18" t="s">
        <v>38</v>
      </c>
      <c r="D37" s="18" t="s">
        <v>52</v>
      </c>
      <c r="E37" s="19" t="str">
        <f>IF(A37&lt;&gt;"", IF(COUNTIF(Technical_Evaluations!C:C, A37), "Present", "Absent"), "")</f>
        <v>Present</v>
      </c>
      <c r="F37" s="19" t="str">
        <f>IF(A37&lt;&gt;"", IF(COUNTIF(Technical_Evaluations!C:C, A37), "Present", "Absent"), "")
</f>
        <v>Present</v>
      </c>
      <c r="G37" s="20">
        <f>IFERROR(VLOOKUP(A37, SoftSkills_Evaluations!C:L, 8, FALSE), "")</f>
        <v>67</v>
      </c>
      <c r="H37" s="20">
        <f>IFERROR(VLOOKUP(A37, Technical_Evaluations!C:L, 7, FALSE), "")
</f>
        <v>71</v>
      </c>
      <c r="I37" s="20">
        <f>IFERROR(VLOOKUP(A37, 'GD Evaluations'!A:G, 7, FALSE), "")</f>
        <v>71</v>
      </c>
      <c r="J37" s="20">
        <f t="shared" si="1"/>
        <v>69.66666667</v>
      </c>
      <c r="K37" s="20">
        <f t="shared" si="2"/>
        <v>69</v>
      </c>
    </row>
    <row r="38">
      <c r="A38" s="16" t="s">
        <v>471</v>
      </c>
      <c r="B38" s="16" t="s">
        <v>472</v>
      </c>
      <c r="C38" s="18" t="s">
        <v>51</v>
      </c>
      <c r="D38" s="18" t="s">
        <v>39</v>
      </c>
      <c r="E38" s="19" t="str">
        <f>IF(A38&lt;&gt;"", IF(COUNTIF(Technical_Evaluations!C:C, A38), "Present", "Absent"), "")</f>
        <v>Absent</v>
      </c>
      <c r="F38" s="19" t="str">
        <f>IF(A38&lt;&gt;"", IF(COUNTIF(Technical_Evaluations!C:C, A38), "Present", "Absent"), "")
</f>
        <v>Absent</v>
      </c>
      <c r="G38" s="20" t="str">
        <f>IFERROR(VLOOKUP(A38, SoftSkills_Evaluations!C:L, 8, FALSE), "")</f>
        <v/>
      </c>
      <c r="H38" s="20" t="str">
        <f>IFERROR(VLOOKUP(A38, Technical_Evaluations!C:L, 7, FALSE), "")
</f>
        <v/>
      </c>
      <c r="I38" s="20" t="str">
        <f>IFERROR(VLOOKUP(A38, 'GD Evaluations'!A:G, 7, FALSE), "")</f>
        <v/>
      </c>
      <c r="J38" s="20">
        <f t="shared" si="1"/>
        <v>0</v>
      </c>
      <c r="K38" s="20">
        <f t="shared" si="2"/>
        <v>0</v>
      </c>
    </row>
    <row r="39">
      <c r="A39" s="16" t="s">
        <v>473</v>
      </c>
      <c r="B39" s="16" t="s">
        <v>474</v>
      </c>
      <c r="C39" s="18" t="s">
        <v>38</v>
      </c>
      <c r="D39" s="18" t="s">
        <v>52</v>
      </c>
      <c r="E39" s="19" t="str">
        <f>IF(A39&lt;&gt;"", IF(COUNTIF(Technical_Evaluations!C:C, A39), "Present", "Absent"), "")</f>
        <v>Absent</v>
      </c>
      <c r="F39" s="19" t="str">
        <f>IF(A39&lt;&gt;"", IF(COUNTIF(Technical_Evaluations!C:C, A39), "Present", "Absent"), "")
</f>
        <v>Absent</v>
      </c>
      <c r="G39" s="20" t="str">
        <f>IFERROR(VLOOKUP(A39, SoftSkills_Evaluations!C:L, 8, FALSE), "")</f>
        <v/>
      </c>
      <c r="H39" s="20" t="str">
        <f>IFERROR(VLOOKUP(A39, Technical_Evaluations!C:L, 7, FALSE), "")
</f>
        <v/>
      </c>
      <c r="I39" s="20" t="str">
        <f>IFERROR(VLOOKUP(A39, 'GD Evaluations'!A:G, 7, FALSE), "")</f>
        <v/>
      </c>
      <c r="J39" s="20">
        <f t="shared" si="1"/>
        <v>0</v>
      </c>
      <c r="K39" s="20">
        <f t="shared" si="2"/>
        <v>0</v>
      </c>
    </row>
    <row r="40">
      <c r="A40" s="16" t="s">
        <v>475</v>
      </c>
      <c r="B40" s="16" t="s">
        <v>476</v>
      </c>
      <c r="C40" s="18" t="s">
        <v>51</v>
      </c>
      <c r="D40" s="18" t="s">
        <v>39</v>
      </c>
      <c r="E40" s="19" t="str">
        <f>IF(A40&lt;&gt;"", IF(COUNTIF(Technical_Evaluations!C:C, A40), "Present", "Absent"), "")</f>
        <v>Absent</v>
      </c>
      <c r="F40" s="19" t="str">
        <f>IF(A40&lt;&gt;"", IF(COUNTIF(Technical_Evaluations!C:C, A40), "Present", "Absent"), "")
</f>
        <v>Absent</v>
      </c>
      <c r="G40" s="20" t="str">
        <f>IFERROR(VLOOKUP(A40, SoftSkills_Evaluations!C:L, 8, FALSE), "")</f>
        <v/>
      </c>
      <c r="H40" s="20" t="str">
        <f>IFERROR(VLOOKUP(A40, Technical_Evaluations!C:L, 7, FALSE), "")
</f>
        <v/>
      </c>
      <c r="I40" s="20" t="str">
        <f>IFERROR(VLOOKUP(A40, 'GD Evaluations'!A:G, 7, FALSE), "")</f>
        <v/>
      </c>
      <c r="J40" s="20">
        <f t="shared" si="1"/>
        <v>0</v>
      </c>
      <c r="K40" s="20">
        <f t="shared" si="2"/>
        <v>0</v>
      </c>
    </row>
    <row r="41">
      <c r="A41" s="16" t="s">
        <v>318</v>
      </c>
      <c r="B41" s="16" t="s">
        <v>477</v>
      </c>
      <c r="C41" s="18" t="s">
        <v>51</v>
      </c>
      <c r="D41" s="18" t="s">
        <v>39</v>
      </c>
      <c r="E41" s="19" t="str">
        <f>IF(A41&lt;&gt;"", IF(COUNTIF(Technical_Evaluations!C:C, A41), "Present", "Absent"), "")</f>
        <v>Present</v>
      </c>
      <c r="F41" s="19" t="str">
        <f>IF(A41&lt;&gt;"", IF(COUNTIF(Technical_Evaluations!C:C, A41), "Present", "Absent"), "")
</f>
        <v>Present</v>
      </c>
      <c r="G41" s="20" t="str">
        <f>IFERROR(VLOOKUP(A41, SoftSkills_Evaluations!C:L, 8, FALSE), "")</f>
        <v/>
      </c>
      <c r="H41" s="20">
        <f>IFERROR(VLOOKUP(A41, Technical_Evaluations!C:L, 7, FALSE), "")
</f>
        <v>58.2</v>
      </c>
      <c r="I41" s="20">
        <f>IFERROR(VLOOKUP(A41, 'GD Evaluations'!A:G, 7, FALSE), "")</f>
        <v>18</v>
      </c>
      <c r="J41" s="20">
        <f t="shared" si="1"/>
        <v>25.4</v>
      </c>
      <c r="K41" s="20">
        <f t="shared" si="2"/>
        <v>9</v>
      </c>
    </row>
    <row r="42">
      <c r="A42" s="16" t="s">
        <v>174</v>
      </c>
      <c r="B42" s="16" t="s">
        <v>479</v>
      </c>
      <c r="C42" s="18" t="s">
        <v>38</v>
      </c>
      <c r="D42" s="18" t="s">
        <v>39</v>
      </c>
      <c r="E42" s="19" t="str">
        <f>IF(A42&lt;&gt;"", IF(COUNTIF(Technical_Evaluations!C:C, A42), "Present", "Absent"), "")</f>
        <v>Present</v>
      </c>
      <c r="F42" s="19" t="str">
        <f>IF(A42&lt;&gt;"", IF(COUNTIF(Technical_Evaluations!C:C, A42), "Present", "Absent"), "")
</f>
        <v>Present</v>
      </c>
      <c r="G42" s="20">
        <f>IFERROR(VLOOKUP(A42, SoftSkills_Evaluations!C:L, 8, FALSE), "")</f>
        <v>61.2</v>
      </c>
      <c r="H42" s="20">
        <f>IFERROR(VLOOKUP(A42, Technical_Evaluations!C:L, 7, FALSE), "")
</f>
        <v>71.4</v>
      </c>
      <c r="I42" s="20">
        <f>IFERROR(VLOOKUP(A42, 'GD Evaluations'!A:G, 7, FALSE), "")</f>
        <v>56</v>
      </c>
      <c r="J42" s="20">
        <f t="shared" si="1"/>
        <v>62.86666667</v>
      </c>
      <c r="K42" s="20">
        <f t="shared" si="2"/>
        <v>58.6</v>
      </c>
    </row>
    <row r="43">
      <c r="A43" s="16" t="s">
        <v>485</v>
      </c>
      <c r="B43" s="16" t="s">
        <v>487</v>
      </c>
      <c r="C43" s="18" t="s">
        <v>38</v>
      </c>
      <c r="D43" s="18" t="s">
        <v>39</v>
      </c>
      <c r="E43" s="19" t="str">
        <f>IF(A43&lt;&gt;"", IF(COUNTIF(Technical_Evaluations!C:C, A43), "Present", "Absent"), "")</f>
        <v>Absent</v>
      </c>
      <c r="F43" s="19" t="str">
        <f>IF(A43&lt;&gt;"", IF(COUNTIF(Technical_Evaluations!C:C, A43), "Present", "Absent"), "")
</f>
        <v>Absent</v>
      </c>
      <c r="G43" s="20" t="str">
        <f>IFERROR(VLOOKUP(A43, SoftSkills_Evaluations!C:L, 8, FALSE), "")</f>
        <v/>
      </c>
      <c r="H43" s="20" t="str">
        <f>IFERROR(VLOOKUP(A43, Technical_Evaluations!C:L, 7, FALSE), "")
</f>
        <v/>
      </c>
      <c r="I43" s="20" t="str">
        <f>IFERROR(VLOOKUP(A43, 'GD Evaluations'!A:G, 7, FALSE), "")</f>
        <v/>
      </c>
      <c r="J43" s="20">
        <f t="shared" si="1"/>
        <v>0</v>
      </c>
      <c r="K43" s="20">
        <f t="shared" si="2"/>
        <v>0</v>
      </c>
    </row>
    <row r="44">
      <c r="A44" s="18" t="s">
        <v>188</v>
      </c>
      <c r="B44" s="18" t="s">
        <v>497</v>
      </c>
      <c r="C44" s="18" t="s">
        <v>88</v>
      </c>
      <c r="D44" s="18" t="s">
        <v>52</v>
      </c>
      <c r="E44" s="19" t="str">
        <f>IF(A44&lt;&gt;"", IF(COUNTIF(Technical_Evaluations!C:C, A44), "Present", "Absent"), "")</f>
        <v>Absent</v>
      </c>
      <c r="F44" s="19" t="str">
        <f>IF(A44&lt;&gt;"", IF(COUNTIF(Technical_Evaluations!C:C, A44), "Present", "Absent"), "")
</f>
        <v>Absent</v>
      </c>
      <c r="G44" s="20">
        <f>IFERROR(VLOOKUP(A44, SoftSkills_Evaluations!C:L, 8, FALSE), "")</f>
        <v>67.2</v>
      </c>
      <c r="H44" s="20" t="str">
        <f>IFERROR(VLOOKUP(A44, Technical_Evaluations!C:L, 7, FALSE), "")
</f>
        <v/>
      </c>
      <c r="I44" s="20">
        <f>IFERROR(VLOOKUP(A44, 'GD Evaluations'!A:G, 7, FALSE), "")</f>
        <v>68</v>
      </c>
      <c r="J44" s="20">
        <f t="shared" si="1"/>
        <v>45.06666667</v>
      </c>
      <c r="K44" s="20">
        <f t="shared" si="2"/>
        <v>67.6</v>
      </c>
    </row>
    <row r="45">
      <c r="A45" s="16" t="s">
        <v>508</v>
      </c>
      <c r="B45" s="16" t="s">
        <v>509</v>
      </c>
      <c r="C45" s="18" t="s">
        <v>38</v>
      </c>
      <c r="D45" s="18" t="s">
        <v>39</v>
      </c>
      <c r="E45" s="19" t="str">
        <f>IF(A45&lt;&gt;"", IF(COUNTIF(Technical_Evaluations!C:C, A45), "Present", "Absent"), "")</f>
        <v>Absent</v>
      </c>
      <c r="F45" s="19" t="str">
        <f>IF(A45&lt;&gt;"", IF(COUNTIF(Technical_Evaluations!C:C, A45), "Present", "Absent"), "")
</f>
        <v>Absent</v>
      </c>
      <c r="G45" s="20" t="str">
        <f>IFERROR(VLOOKUP(A45, SoftSkills_Evaluations!C:L, 8, FALSE), "")</f>
        <v/>
      </c>
      <c r="H45" s="20" t="str">
        <f>IFERROR(VLOOKUP(A45, Technical_Evaluations!C:L, 7, FALSE), "")
</f>
        <v/>
      </c>
      <c r="I45" s="20" t="str">
        <f>IFERROR(VLOOKUP(A45, 'GD Evaluations'!A:G, 7, FALSE), "")</f>
        <v/>
      </c>
      <c r="J45" s="20">
        <f t="shared" si="1"/>
        <v>0</v>
      </c>
      <c r="K45" s="20">
        <f t="shared" si="2"/>
        <v>0</v>
      </c>
    </row>
    <row r="46">
      <c r="A46" s="18" t="s">
        <v>91</v>
      </c>
      <c r="B46" s="18" t="s">
        <v>511</v>
      </c>
      <c r="C46" s="18" t="s">
        <v>88</v>
      </c>
      <c r="D46" s="18" t="s">
        <v>39</v>
      </c>
      <c r="E46" s="19" t="str">
        <f>IF(A46&lt;&gt;"", IF(COUNTIF(Technical_Evaluations!C:C, A46), "Present", "Absent"), "")</f>
        <v>Present</v>
      </c>
      <c r="F46" s="19" t="str">
        <f>IF(A46&lt;&gt;"", IF(COUNTIF(Technical_Evaluations!C:C, A46), "Present", "Absent"), "")
</f>
        <v>Present</v>
      </c>
      <c r="G46" s="20" t="str">
        <f>IFERROR(VLOOKUP(A46, SoftSkills_Evaluations!C:L, 8, FALSE), "")</f>
        <v/>
      </c>
      <c r="H46" s="20">
        <f>IFERROR(VLOOKUP(A46, Technical_Evaluations!C:L, 7, FALSE), "")
</f>
        <v>60</v>
      </c>
      <c r="I46" s="20">
        <f>IFERROR(VLOOKUP(A46, 'GD Evaluations'!A:G, 7, FALSE), "")</f>
        <v>48</v>
      </c>
      <c r="J46" s="20">
        <f t="shared" si="1"/>
        <v>36</v>
      </c>
      <c r="K46" s="20">
        <f t="shared" si="2"/>
        <v>24</v>
      </c>
    </row>
    <row r="47">
      <c r="A47" s="16" t="s">
        <v>514</v>
      </c>
      <c r="B47" s="16" t="s">
        <v>516</v>
      </c>
      <c r="C47" s="18" t="s">
        <v>51</v>
      </c>
      <c r="D47" s="18" t="s">
        <v>39</v>
      </c>
      <c r="E47" s="19" t="str">
        <f>IF(A47&lt;&gt;"", IF(COUNTIF(Technical_Evaluations!C:C, A47), "Present", "Absent"), "")</f>
        <v>Absent</v>
      </c>
      <c r="F47" s="19" t="str">
        <f>IF(A47&lt;&gt;"", IF(COUNTIF(Technical_Evaluations!C:C, A47), "Present", "Absent"), "")
</f>
        <v>Absent</v>
      </c>
      <c r="G47" s="20" t="str">
        <f>IFERROR(VLOOKUP(A47, SoftSkills_Evaluations!C:L, 8, FALSE), "")</f>
        <v/>
      </c>
      <c r="H47" s="20" t="str">
        <f>IFERROR(VLOOKUP(A47, Technical_Evaluations!C:L, 7, FALSE), "")
</f>
        <v/>
      </c>
      <c r="I47" s="20" t="str">
        <f>IFERROR(VLOOKUP(A47, 'GD Evaluations'!A:G, 7, FALSE), "")</f>
        <v/>
      </c>
      <c r="J47" s="20">
        <f t="shared" si="1"/>
        <v>0</v>
      </c>
      <c r="K47" s="20">
        <f t="shared" si="2"/>
        <v>0</v>
      </c>
    </row>
    <row r="48">
      <c r="A48" s="18" t="s">
        <v>86</v>
      </c>
      <c r="B48" s="18" t="s">
        <v>494</v>
      </c>
      <c r="C48" s="18" t="s">
        <v>88</v>
      </c>
      <c r="D48" s="18" t="s">
        <v>39</v>
      </c>
      <c r="E48" s="19" t="str">
        <f>IF(A48&lt;&gt;"", IF(COUNTIF(Technical_Evaluations!C:C, A48), "Present", "Absent"), "")</f>
        <v>Present</v>
      </c>
      <c r="F48" s="19" t="str">
        <f>IF(A48&lt;&gt;"", IF(COUNTIF(Technical_Evaluations!C:C, A48), "Present", "Absent"), "")
</f>
        <v>Present</v>
      </c>
      <c r="G48" s="20">
        <f>IFERROR(VLOOKUP(A48, SoftSkills_Evaluations!C:L, 8, FALSE), "")</f>
        <v>72.4</v>
      </c>
      <c r="H48" s="20">
        <f>IFERROR(VLOOKUP(A48, Technical_Evaluations!C:L, 7, FALSE), "")
</f>
        <v>96</v>
      </c>
      <c r="I48" s="20">
        <f>IFERROR(VLOOKUP(A48, 'GD Evaluations'!A:G, 7, FALSE), "")</f>
        <v>50</v>
      </c>
      <c r="J48" s="20">
        <f t="shared" si="1"/>
        <v>72.8</v>
      </c>
      <c r="K48" s="20">
        <f t="shared" si="2"/>
        <v>61.2</v>
      </c>
    </row>
    <row r="49">
      <c r="A49" s="16" t="s">
        <v>177</v>
      </c>
      <c r="B49" s="16" t="s">
        <v>522</v>
      </c>
      <c r="C49" s="18" t="s">
        <v>53</v>
      </c>
      <c r="D49" s="18" t="s">
        <v>52</v>
      </c>
      <c r="E49" s="19" t="str">
        <f>IF(A49&lt;&gt;"", IF(COUNTIF(Technical_Evaluations!C:C, A49), "Present", "Absent"), "")</f>
        <v>Present</v>
      </c>
      <c r="F49" s="19" t="str">
        <f>IF(A49&lt;&gt;"", IF(COUNTIF(Technical_Evaluations!C:C, A49), "Present", "Absent"), "")
</f>
        <v>Present</v>
      </c>
      <c r="G49" s="20" t="str">
        <f>IFERROR(VLOOKUP(A49, SoftSkills_Evaluations!C:L, 8, FALSE), "")</f>
        <v/>
      </c>
      <c r="H49" s="20">
        <f>IFERROR(VLOOKUP(A49, Technical_Evaluations!C:L, 7, FALSE), "")
</f>
        <v>46</v>
      </c>
      <c r="I49" s="20">
        <f>IFERROR(VLOOKUP(A49, 'GD Evaluations'!A:G, 7, FALSE), "")</f>
        <v>53</v>
      </c>
      <c r="J49" s="20">
        <f t="shared" si="1"/>
        <v>33</v>
      </c>
      <c r="K49" s="20">
        <f t="shared" si="2"/>
        <v>26.5</v>
      </c>
    </row>
    <row r="50">
      <c r="A50" s="16" t="s">
        <v>145</v>
      </c>
      <c r="B50" s="16" t="s">
        <v>507</v>
      </c>
      <c r="C50" s="18" t="s">
        <v>51</v>
      </c>
      <c r="D50" s="18" t="s">
        <v>52</v>
      </c>
      <c r="E50" s="19" t="str">
        <f>IF(A50&lt;&gt;"", IF(COUNTIF(Technical_Evaluations!C:C, A50), "Present", "Absent"), "")</f>
        <v>Present</v>
      </c>
      <c r="F50" s="19" t="str">
        <f>IF(A50&lt;&gt;"", IF(COUNTIF(Technical_Evaluations!C:C, A50), "Present", "Absent"), "")
</f>
        <v>Present</v>
      </c>
      <c r="G50" s="20">
        <f>IFERROR(VLOOKUP(A50, SoftSkills_Evaluations!C:L, 8, FALSE), "")</f>
        <v>72.4</v>
      </c>
      <c r="H50" s="20">
        <f>IFERROR(VLOOKUP(A50, Technical_Evaluations!C:L, 7, FALSE), "")
</f>
        <v>57.6</v>
      </c>
      <c r="I50" s="20">
        <f>IFERROR(VLOOKUP(A50, 'GD Evaluations'!A:G, 7, FALSE), "")</f>
        <v>60</v>
      </c>
      <c r="J50" s="20">
        <f t="shared" si="1"/>
        <v>63.33333333</v>
      </c>
      <c r="K50" s="20">
        <f t="shared" si="2"/>
        <v>66.2</v>
      </c>
    </row>
    <row r="51">
      <c r="A51" s="16" t="s">
        <v>132</v>
      </c>
      <c r="B51" s="16" t="s">
        <v>502</v>
      </c>
      <c r="C51" s="18" t="s">
        <v>38</v>
      </c>
      <c r="D51" s="18" t="s">
        <v>52</v>
      </c>
      <c r="E51" s="19" t="str">
        <f>IF(A51&lt;&gt;"", IF(COUNTIF(Technical_Evaluations!C:C, A51), "Present", "Absent"), "")</f>
        <v>Present</v>
      </c>
      <c r="F51" s="19" t="str">
        <f>IF(A51&lt;&gt;"", IF(COUNTIF(Technical_Evaluations!C:C, A51), "Present", "Absent"), "")
</f>
        <v>Present</v>
      </c>
      <c r="G51" s="20">
        <f>IFERROR(VLOOKUP(A51, SoftSkills_Evaluations!C:L, 8, FALSE), "")</f>
        <v>71.6</v>
      </c>
      <c r="H51" s="20">
        <f>IFERROR(VLOOKUP(A51, Technical_Evaluations!C:L, 7, FALSE), "")
</f>
        <v>53.4</v>
      </c>
      <c r="I51" s="20">
        <f>IFERROR(VLOOKUP(A51, 'GD Evaluations'!A:G, 7, FALSE), "")</f>
        <v>75</v>
      </c>
      <c r="J51" s="20">
        <f t="shared" si="1"/>
        <v>66.66666667</v>
      </c>
      <c r="K51" s="20">
        <f t="shared" si="2"/>
        <v>73.3</v>
      </c>
    </row>
    <row r="52">
      <c r="A52" s="18" t="s">
        <v>126</v>
      </c>
      <c r="B52" s="16" t="s">
        <v>488</v>
      </c>
      <c r="C52" s="18" t="s">
        <v>38</v>
      </c>
      <c r="D52" s="18" t="s">
        <v>52</v>
      </c>
      <c r="E52" s="19" t="str">
        <f>IF(A52&lt;&gt;"", IF(COUNTIF(Technical_Evaluations!C:C, A52), "Present", "Absent"), "")</f>
        <v>Present</v>
      </c>
      <c r="F52" s="19" t="str">
        <f>IF(A52&lt;&gt;"", IF(COUNTIF(Technical_Evaluations!C:C, A52), "Present", "Absent"), "")
</f>
        <v>Present</v>
      </c>
      <c r="G52" s="20">
        <f>IFERROR(VLOOKUP(A52, SoftSkills_Evaluations!C:L, 8, FALSE), "")</f>
        <v>77.6</v>
      </c>
      <c r="H52" s="20">
        <f>IFERROR(VLOOKUP(A52, Technical_Evaluations!C:L, 7, FALSE), "")
</f>
        <v>84.2</v>
      </c>
      <c r="I52" s="20">
        <f>IFERROR(VLOOKUP(A52, 'GD Evaluations'!A:G, 7, FALSE), "")</f>
        <v>73</v>
      </c>
      <c r="J52" s="20">
        <f t="shared" si="1"/>
        <v>78.26666667</v>
      </c>
      <c r="K52" s="20">
        <f t="shared" si="2"/>
        <v>75.3</v>
      </c>
    </row>
    <row r="53">
      <c r="A53" s="16" t="s">
        <v>126</v>
      </c>
      <c r="B53" s="16" t="s">
        <v>488</v>
      </c>
      <c r="C53" s="18" t="s">
        <v>38</v>
      </c>
      <c r="D53" s="18" t="s">
        <v>52</v>
      </c>
      <c r="E53" s="19" t="str">
        <f>IF(A53&lt;&gt;"", IF(COUNTIF(Technical_Evaluations!C:C, A53), "Present", "Absent"), "")</f>
        <v>Present</v>
      </c>
      <c r="F53" s="19" t="str">
        <f>IF(A53&lt;&gt;"", IF(COUNTIF(Technical_Evaluations!C:C, A53), "Present", "Absent"), "")
</f>
        <v>Present</v>
      </c>
      <c r="G53" s="20">
        <f>IFERROR(VLOOKUP(A53, SoftSkills_Evaluations!C:L, 8, FALSE), "")</f>
        <v>77.6</v>
      </c>
      <c r="H53" s="20">
        <f>IFERROR(VLOOKUP(A53, Technical_Evaluations!C:L, 7, FALSE), "")
</f>
        <v>84.2</v>
      </c>
      <c r="I53" s="20">
        <f>IFERROR(VLOOKUP(A53, 'GD Evaluations'!A:G, 7, FALSE), "")</f>
        <v>73</v>
      </c>
      <c r="J53" s="20">
        <f t="shared" si="1"/>
        <v>78.26666667</v>
      </c>
      <c r="K53" s="20">
        <f t="shared" si="2"/>
        <v>75.3</v>
      </c>
    </row>
    <row r="54">
      <c r="A54" s="16" t="s">
        <v>534</v>
      </c>
      <c r="B54" s="16" t="s">
        <v>535</v>
      </c>
      <c r="C54" s="18" t="s">
        <v>53</v>
      </c>
      <c r="D54" s="18" t="s">
        <v>59</v>
      </c>
      <c r="E54" s="19" t="str">
        <f>IF(A54&lt;&gt;"", IF(COUNTIF(Technical_Evaluations!C:C, A54), "Present", "Absent"), "")</f>
        <v>Absent</v>
      </c>
      <c r="F54" s="19" t="str">
        <f>IF(A54&lt;&gt;"", IF(COUNTIF(Technical_Evaluations!C:C, A54), "Present", "Absent"), "")
</f>
        <v>Absent</v>
      </c>
      <c r="G54" s="20" t="str">
        <f>IFERROR(VLOOKUP(A54, SoftSkills_Evaluations!C:L, 8, FALSE), "")</f>
        <v/>
      </c>
      <c r="H54" s="20" t="str">
        <f>IFERROR(VLOOKUP(A54, Technical_Evaluations!C:L, 7, FALSE), "")
</f>
        <v/>
      </c>
      <c r="I54" s="20" t="str">
        <f>IFERROR(VLOOKUP(A54, 'GD Evaluations'!A:G, 7, FALSE), "")</f>
        <v/>
      </c>
      <c r="J54" s="20">
        <f t="shared" si="1"/>
        <v>0</v>
      </c>
      <c r="K54" s="20">
        <f t="shared" si="2"/>
        <v>0</v>
      </c>
    </row>
    <row r="55">
      <c r="A55" s="18" t="s">
        <v>245</v>
      </c>
      <c r="B55" s="18" t="s">
        <v>484</v>
      </c>
      <c r="C55" s="18" t="s">
        <v>88</v>
      </c>
      <c r="D55" s="18" t="s">
        <v>52</v>
      </c>
      <c r="E55" s="19" t="str">
        <f>IF(A55&lt;&gt;"", IF(COUNTIF(Technical_Evaluations!C:C, A55), "Present", "Absent"), "")</f>
        <v>Present</v>
      </c>
      <c r="F55" s="19" t="str">
        <f>IF(A55&lt;&gt;"", IF(COUNTIF(Technical_Evaluations!C:C, A55), "Present", "Absent"), "")
</f>
        <v>Present</v>
      </c>
      <c r="G55" s="20">
        <f>IFERROR(VLOOKUP(A55, SoftSkills_Evaluations!C:L, 8, FALSE), "")</f>
        <v>74.4</v>
      </c>
      <c r="H55" s="20">
        <f>IFERROR(VLOOKUP(A55, Technical_Evaluations!C:L, 7, FALSE), "")
</f>
        <v>89.2</v>
      </c>
      <c r="I55" s="20">
        <f>IFERROR(VLOOKUP(A55, 'GD Evaluations'!A:G, 7, FALSE), "")</f>
        <v>76</v>
      </c>
      <c r="J55" s="20">
        <f t="shared" si="1"/>
        <v>79.86666667</v>
      </c>
      <c r="K55" s="20">
        <f t="shared" si="2"/>
        <v>75.2</v>
      </c>
    </row>
    <row r="56">
      <c r="A56" s="18" t="s">
        <v>103</v>
      </c>
      <c r="B56" s="18" t="s">
        <v>540</v>
      </c>
      <c r="C56" s="18" t="s">
        <v>88</v>
      </c>
      <c r="D56" s="18" t="s">
        <v>39</v>
      </c>
      <c r="E56" s="19" t="str">
        <f>IF(A56&lt;&gt;"", IF(COUNTIF(Technical_Evaluations!C:C, A56), "Present", "Absent"), "")</f>
        <v>Present</v>
      </c>
      <c r="F56" s="19" t="str">
        <f>IF(A56&lt;&gt;"", IF(COUNTIF(Technical_Evaluations!C:C, A56), "Present", "Absent"), "")
</f>
        <v>Present</v>
      </c>
      <c r="G56" s="20" t="str">
        <f>IFERROR(VLOOKUP(A56, SoftSkills_Evaluations!C:L, 8, FALSE), "")</f>
        <v/>
      </c>
      <c r="H56" s="20">
        <f>IFERROR(VLOOKUP(A56, Technical_Evaluations!C:L, 7, FALSE), "")
</f>
        <v>60.8</v>
      </c>
      <c r="I56" s="20">
        <f>IFERROR(VLOOKUP(A56, 'GD Evaluations'!A:G, 7, FALSE), "")</f>
        <v>59</v>
      </c>
      <c r="J56" s="20">
        <f t="shared" si="1"/>
        <v>39.93333333</v>
      </c>
      <c r="K56" s="20">
        <f t="shared" si="2"/>
        <v>29.5</v>
      </c>
    </row>
    <row r="57">
      <c r="A57" s="16" t="s">
        <v>546</v>
      </c>
      <c r="B57" s="16" t="s">
        <v>547</v>
      </c>
      <c r="C57" s="18" t="s">
        <v>38</v>
      </c>
      <c r="D57" s="18" t="s">
        <v>52</v>
      </c>
      <c r="E57" s="19" t="str">
        <f>IF(A57&lt;&gt;"", IF(COUNTIF(Technical_Evaluations!C:C, A57), "Present", "Absent"), "")</f>
        <v>Absent</v>
      </c>
      <c r="F57" s="19" t="str">
        <f>IF(A57&lt;&gt;"", IF(COUNTIF(Technical_Evaluations!C:C, A57), "Present", "Absent"), "")
</f>
        <v>Absent</v>
      </c>
      <c r="G57" s="20" t="str">
        <f>IFERROR(VLOOKUP(A57, SoftSkills_Evaluations!C:L, 8, FALSE), "")</f>
        <v/>
      </c>
      <c r="H57" s="20" t="str">
        <f>IFERROR(VLOOKUP(A57, Technical_Evaluations!C:L, 7, FALSE), "")
</f>
        <v/>
      </c>
      <c r="I57" s="20" t="str">
        <f>IFERROR(VLOOKUP(A57, 'GD Evaluations'!A:G, 7, FALSE), "")</f>
        <v/>
      </c>
      <c r="J57" s="20">
        <f t="shared" si="1"/>
        <v>0</v>
      </c>
      <c r="K57" s="20">
        <f t="shared" si="2"/>
        <v>0</v>
      </c>
    </row>
    <row r="58">
      <c r="A58" s="16" t="s">
        <v>548</v>
      </c>
      <c r="B58" s="16" t="s">
        <v>549</v>
      </c>
      <c r="C58" s="18" t="s">
        <v>51</v>
      </c>
      <c r="D58" s="18" t="s">
        <v>52</v>
      </c>
      <c r="E58" s="19" t="str">
        <f>IF(A58&lt;&gt;"", IF(COUNTIF(Technical_Evaluations!C:C, A58), "Present", "Absent"), "")</f>
        <v>Absent</v>
      </c>
      <c r="F58" s="19" t="str">
        <f>IF(A58&lt;&gt;"", IF(COUNTIF(Technical_Evaluations!C:C, A58), "Present", "Absent"), "")
</f>
        <v>Absent</v>
      </c>
      <c r="G58" s="20" t="str">
        <f>IFERROR(VLOOKUP(A58, SoftSkills_Evaluations!C:L, 8, FALSE), "")</f>
        <v/>
      </c>
      <c r="H58" s="20" t="str">
        <f>IFERROR(VLOOKUP(A58, Technical_Evaluations!C:L, 7, FALSE), "")
</f>
        <v/>
      </c>
      <c r="I58" s="20" t="str">
        <f>IFERROR(VLOOKUP(A58, 'GD Evaluations'!A:G, 7, FALSE), "")</f>
        <v/>
      </c>
      <c r="J58" s="20">
        <f t="shared" si="1"/>
        <v>0</v>
      </c>
      <c r="K58" s="20">
        <f t="shared" si="2"/>
        <v>0</v>
      </c>
    </row>
    <row r="59">
      <c r="A59" s="16" t="s">
        <v>122</v>
      </c>
      <c r="B59" s="16" t="s">
        <v>524</v>
      </c>
      <c r="C59" s="18" t="s">
        <v>53</v>
      </c>
      <c r="D59" s="18" t="s">
        <v>39</v>
      </c>
      <c r="E59" s="19" t="str">
        <f>IF(A59&lt;&gt;"", IF(COUNTIF(Technical_Evaluations!C:C, A59), "Present", "Absent"), "")</f>
        <v>Present</v>
      </c>
      <c r="F59" s="19" t="str">
        <f>IF(A59&lt;&gt;"", IF(COUNTIF(Technical_Evaluations!C:C, A59), "Present", "Absent"), "")
</f>
        <v>Present</v>
      </c>
      <c r="G59" s="20">
        <f>IFERROR(VLOOKUP(A59, SoftSkills_Evaluations!C:L, 8, FALSE), "")</f>
        <v>66.4</v>
      </c>
      <c r="H59" s="20">
        <f>IFERROR(VLOOKUP(A59, Technical_Evaluations!C:L, 7, FALSE), "")
</f>
        <v>82.6</v>
      </c>
      <c r="I59" s="20" t="str">
        <f>IFERROR(VLOOKUP(A59, 'GD Evaluations'!A:G, 7, FALSE), "")</f>
        <v/>
      </c>
      <c r="J59" s="20">
        <f t="shared" si="1"/>
        <v>49.66666667</v>
      </c>
      <c r="K59" s="20">
        <f t="shared" si="2"/>
        <v>33.2</v>
      </c>
    </row>
    <row r="60">
      <c r="A60" s="16" t="s">
        <v>554</v>
      </c>
      <c r="B60" s="16" t="s">
        <v>555</v>
      </c>
      <c r="C60" s="18" t="s">
        <v>38</v>
      </c>
      <c r="D60" s="18" t="s">
        <v>52</v>
      </c>
      <c r="E60" s="19" t="str">
        <f>IF(A60&lt;&gt;"", IF(COUNTIF(Technical_Evaluations!C:C, A60), "Present", "Absent"), "")</f>
        <v>Absent</v>
      </c>
      <c r="F60" s="19" t="str">
        <f>IF(A60&lt;&gt;"", IF(COUNTIF(Technical_Evaluations!C:C, A60), "Present", "Absent"), "")
</f>
        <v>Absent</v>
      </c>
      <c r="G60" s="20" t="str">
        <f>IFERROR(VLOOKUP(A60, SoftSkills_Evaluations!C:L, 8, FALSE), "")</f>
        <v/>
      </c>
      <c r="H60" s="20" t="str">
        <f>IFERROR(VLOOKUP(A60, Technical_Evaluations!C:L, 7, FALSE), "")
</f>
        <v/>
      </c>
      <c r="I60" s="20" t="str">
        <f>IFERROR(VLOOKUP(A60, 'GD Evaluations'!A:G, 7, FALSE), "")</f>
        <v/>
      </c>
      <c r="J60" s="20">
        <f t="shared" si="1"/>
        <v>0</v>
      </c>
      <c r="K60" s="20">
        <f t="shared" si="2"/>
        <v>0</v>
      </c>
    </row>
    <row r="61">
      <c r="A61" s="16" t="s">
        <v>136</v>
      </c>
      <c r="B61" s="16" t="s">
        <v>482</v>
      </c>
      <c r="C61" s="18" t="s">
        <v>38</v>
      </c>
      <c r="D61" s="18" t="s">
        <v>59</v>
      </c>
      <c r="E61" s="19" t="str">
        <f>IF(A61&lt;&gt;"", IF(COUNTIF(Technical_Evaluations!C:C, A61), "Present", "Absent"), "")</f>
        <v>Present</v>
      </c>
      <c r="F61" s="19" t="str">
        <f>IF(A61&lt;&gt;"", IF(COUNTIF(Technical_Evaluations!C:C, A61), "Present", "Absent"), "")
</f>
        <v>Present</v>
      </c>
      <c r="G61" s="20">
        <f>IFERROR(VLOOKUP(A61, SoftSkills_Evaluations!C:L, 8, FALSE), "")</f>
        <v>95</v>
      </c>
      <c r="H61" s="20">
        <f>IFERROR(VLOOKUP(A61, Technical_Evaluations!C:L, 7, FALSE), "")
</f>
        <v>83.8</v>
      </c>
      <c r="I61" s="20">
        <f>IFERROR(VLOOKUP(A61, 'GD Evaluations'!A:G, 7, FALSE), "")</f>
        <v>67</v>
      </c>
      <c r="J61" s="20">
        <f t="shared" si="1"/>
        <v>81.93333333</v>
      </c>
      <c r="K61" s="20">
        <f t="shared" si="2"/>
        <v>81</v>
      </c>
    </row>
    <row r="62">
      <c r="A62" s="16" t="s">
        <v>556</v>
      </c>
      <c r="B62" s="16" t="s">
        <v>557</v>
      </c>
      <c r="C62" s="18" t="s">
        <v>51</v>
      </c>
      <c r="D62" s="18" t="s">
        <v>59</v>
      </c>
      <c r="E62" s="19" t="str">
        <f>IF(A62&lt;&gt;"", IF(COUNTIF(Technical_Evaluations!C:C, A62), "Present", "Absent"), "")</f>
        <v>Absent</v>
      </c>
      <c r="F62" s="19" t="str">
        <f>IF(A62&lt;&gt;"", IF(COUNTIF(Technical_Evaluations!C:C, A62), "Present", "Absent"), "")
</f>
        <v>Absent</v>
      </c>
      <c r="G62" s="20" t="str">
        <f>IFERROR(VLOOKUP(A62, SoftSkills_Evaluations!C:L, 8, FALSE), "")</f>
        <v/>
      </c>
      <c r="H62" s="20" t="str">
        <f>IFERROR(VLOOKUP(A62, Technical_Evaluations!C:L, 7, FALSE), "")
</f>
        <v/>
      </c>
      <c r="I62" s="20" t="str">
        <f>IFERROR(VLOOKUP(A62, 'GD Evaluations'!A:G, 7, FALSE), "")</f>
        <v/>
      </c>
      <c r="J62" s="20">
        <f t="shared" si="1"/>
        <v>0</v>
      </c>
      <c r="K62" s="20">
        <f t="shared" si="2"/>
        <v>0</v>
      </c>
    </row>
    <row r="63">
      <c r="A63" s="16" t="s">
        <v>65</v>
      </c>
      <c r="B63" s="16" t="s">
        <v>532</v>
      </c>
      <c r="C63" s="18" t="s">
        <v>53</v>
      </c>
      <c r="D63" s="18" t="s">
        <v>39</v>
      </c>
      <c r="E63" s="19" t="str">
        <f>IF(A63&lt;&gt;"", IF(COUNTIF(Technical_Evaluations!C:C, A63), "Present", "Absent"), "")</f>
        <v>Present</v>
      </c>
      <c r="F63" s="19" t="str">
        <f>IF(A63&lt;&gt;"", IF(COUNTIF(Technical_Evaluations!C:C, A63), "Present", "Absent"), "")
</f>
        <v>Present</v>
      </c>
      <c r="G63" s="20">
        <f>IFERROR(VLOOKUP(A63, SoftSkills_Evaluations!C:L, 8, FALSE), "")</f>
        <v>67.6</v>
      </c>
      <c r="H63" s="20">
        <f>IFERROR(VLOOKUP(A63, Technical_Evaluations!C:L, 7, FALSE), "")
</f>
        <v>92.4</v>
      </c>
      <c r="I63" s="20">
        <f>IFERROR(VLOOKUP(A63, 'GD Evaluations'!A:G, 7, FALSE), "")</f>
        <v>15</v>
      </c>
      <c r="J63" s="20">
        <f t="shared" si="1"/>
        <v>58.33333333</v>
      </c>
      <c r="K63" s="20">
        <f t="shared" si="2"/>
        <v>41.3</v>
      </c>
    </row>
    <row r="64">
      <c r="A64" s="16" t="s">
        <v>559</v>
      </c>
      <c r="B64" s="16" t="s">
        <v>560</v>
      </c>
      <c r="C64" s="18" t="s">
        <v>51</v>
      </c>
      <c r="D64" s="18" t="s">
        <v>52</v>
      </c>
      <c r="E64" s="19" t="str">
        <f>IF(A64&lt;&gt;"", IF(COUNTIF(Technical_Evaluations!C:C, A64), "Present", "Absent"), "")</f>
        <v>Absent</v>
      </c>
      <c r="F64" s="19" t="str">
        <f>IF(A64&lt;&gt;"", IF(COUNTIF(Technical_Evaluations!C:C, A64), "Present", "Absent"), "")
</f>
        <v>Absent</v>
      </c>
      <c r="G64" s="20" t="str">
        <f>IFERROR(VLOOKUP(A64, SoftSkills_Evaluations!C:L, 8, FALSE), "")</f>
        <v/>
      </c>
      <c r="H64" s="20" t="str">
        <f>IFERROR(VLOOKUP(A64, Technical_Evaluations!C:L, 7, FALSE), "")
</f>
        <v/>
      </c>
      <c r="I64" s="20" t="str">
        <f>IFERROR(VLOOKUP(A64, 'GD Evaluations'!A:G, 7, FALSE), "")</f>
        <v/>
      </c>
      <c r="J64" s="20">
        <f t="shared" si="1"/>
        <v>0</v>
      </c>
      <c r="K64" s="20">
        <f t="shared" si="2"/>
        <v>0</v>
      </c>
    </row>
    <row r="65">
      <c r="A65" s="16" t="s">
        <v>191</v>
      </c>
      <c r="B65" s="16" t="s">
        <v>561</v>
      </c>
      <c r="C65" s="18" t="s">
        <v>38</v>
      </c>
      <c r="D65" s="18" t="s">
        <v>52</v>
      </c>
      <c r="E65" s="19" t="str">
        <f>IF(A65&lt;&gt;"", IF(COUNTIF(Technical_Evaluations!C:C, A65), "Present", "Absent"), "")</f>
        <v>Present</v>
      </c>
      <c r="F65" s="19" t="str">
        <f>IF(A65&lt;&gt;"", IF(COUNTIF(Technical_Evaluations!C:C, A65), "Present", "Absent"), "")
</f>
        <v>Present</v>
      </c>
      <c r="G65" s="20">
        <f>IFERROR(VLOOKUP(A65, SoftSkills_Evaluations!C:L, 8, FALSE), "")</f>
        <v>54.4</v>
      </c>
      <c r="H65" s="20">
        <f>IFERROR(VLOOKUP(A65, Technical_Evaluations!C:L, 7, FALSE), "")
</f>
        <v>50.2</v>
      </c>
      <c r="I65" s="20">
        <f>IFERROR(VLOOKUP(A65, 'GD Evaluations'!A:G, 7, FALSE), "")</f>
        <v>13</v>
      </c>
      <c r="J65" s="20">
        <f t="shared" si="1"/>
        <v>39.2</v>
      </c>
      <c r="K65" s="20">
        <f t="shared" si="2"/>
        <v>33.7</v>
      </c>
    </row>
    <row r="66">
      <c r="A66" s="16" t="s">
        <v>563</v>
      </c>
      <c r="B66" s="16" t="s">
        <v>564</v>
      </c>
      <c r="C66" s="18" t="s">
        <v>38</v>
      </c>
      <c r="D66" s="18" t="s">
        <v>39</v>
      </c>
      <c r="E66" s="19" t="str">
        <f>IF(A66&lt;&gt;"", IF(COUNTIF(Technical_Evaluations!C:C, A66), "Present", "Absent"), "")</f>
        <v>Absent</v>
      </c>
      <c r="F66" s="19" t="str">
        <f>IF(A66&lt;&gt;"", IF(COUNTIF(Technical_Evaluations!C:C, A66), "Present", "Absent"), "")
</f>
        <v>Absent</v>
      </c>
      <c r="G66" s="20" t="str">
        <f>IFERROR(VLOOKUP(A66, SoftSkills_Evaluations!C:L, 8, FALSE), "")</f>
        <v/>
      </c>
      <c r="H66" s="20" t="str">
        <f>IFERROR(VLOOKUP(A66, Technical_Evaluations!C:L, 7, FALSE), "")
</f>
        <v/>
      </c>
      <c r="I66" s="20" t="str">
        <f>IFERROR(VLOOKUP(A66, 'GD Evaluations'!A:G, 7, FALSE), "")</f>
        <v/>
      </c>
      <c r="J66" s="20">
        <f t="shared" si="1"/>
        <v>0</v>
      </c>
      <c r="K66" s="20">
        <f t="shared" si="2"/>
        <v>0</v>
      </c>
    </row>
    <row r="67">
      <c r="A67" s="16" t="s">
        <v>565</v>
      </c>
      <c r="B67" s="16" t="s">
        <v>566</v>
      </c>
      <c r="C67" s="18" t="s">
        <v>38</v>
      </c>
      <c r="D67" s="18" t="s">
        <v>52</v>
      </c>
      <c r="E67" s="19" t="str">
        <f>IF(A67&lt;&gt;"", IF(COUNTIF(Technical_Evaluations!C:C, A67), "Present", "Absent"), "")</f>
        <v>Absent</v>
      </c>
      <c r="F67" s="19" t="str">
        <f>IF(A67&lt;&gt;"", IF(COUNTIF(Technical_Evaluations!C:C, A67), "Present", "Absent"), "")
</f>
        <v>Absent</v>
      </c>
      <c r="G67" s="20" t="str">
        <f>IFERROR(VLOOKUP(A67, SoftSkills_Evaluations!C:L, 8, FALSE), "")</f>
        <v/>
      </c>
      <c r="H67" s="20" t="str">
        <f>IFERROR(VLOOKUP(A67, Technical_Evaluations!C:L, 7, FALSE), "")
</f>
        <v/>
      </c>
      <c r="I67" s="20" t="str">
        <f>IFERROR(VLOOKUP(A67, 'GD Evaluations'!A:G, 7, FALSE), "")</f>
        <v/>
      </c>
      <c r="J67" s="20">
        <f t="shared" si="1"/>
        <v>0</v>
      </c>
      <c r="K67" s="20">
        <f t="shared" si="2"/>
        <v>0</v>
      </c>
    </row>
    <row r="68">
      <c r="A68" s="16" t="s">
        <v>201</v>
      </c>
      <c r="B68" s="16" t="s">
        <v>515</v>
      </c>
      <c r="C68" s="18" t="s">
        <v>38</v>
      </c>
      <c r="D68" s="18" t="s">
        <v>52</v>
      </c>
      <c r="E68" s="19" t="str">
        <f>IF(A68&lt;&gt;"", IF(COUNTIF(Technical_Evaluations!C:C, A68), "Present", "Absent"), "")</f>
        <v>Present</v>
      </c>
      <c r="F68" s="19" t="str">
        <f>IF(A68&lt;&gt;"", IF(COUNTIF(Technical_Evaluations!C:C, A68), "Present", "Absent"), "")
</f>
        <v>Present</v>
      </c>
      <c r="G68" s="20" t="str">
        <f>IFERROR(VLOOKUP(A68, SoftSkills_Evaluations!C:L, 8, FALSE), "")</f>
        <v/>
      </c>
      <c r="H68" s="20">
        <f>IFERROR(VLOOKUP(A68, Technical_Evaluations!C:L, 7, FALSE), "")
</f>
        <v>76.8</v>
      </c>
      <c r="I68" s="20">
        <f>IFERROR(VLOOKUP(A68, 'GD Evaluations'!A:G, 7, FALSE), "")</f>
        <v>77</v>
      </c>
      <c r="J68" s="20">
        <f t="shared" si="1"/>
        <v>51.26666667</v>
      </c>
      <c r="K68" s="20">
        <f t="shared" si="2"/>
        <v>38.5</v>
      </c>
    </row>
    <row r="69">
      <c r="A69" s="16" t="s">
        <v>569</v>
      </c>
      <c r="B69" s="16" t="s">
        <v>570</v>
      </c>
      <c r="C69" s="18" t="s">
        <v>38</v>
      </c>
      <c r="D69" s="18" t="s">
        <v>52</v>
      </c>
      <c r="E69" s="19" t="str">
        <f>IF(A69&lt;&gt;"", IF(COUNTIF(Technical_Evaluations!C:C, A69), "Present", "Absent"), "")</f>
        <v>Absent</v>
      </c>
      <c r="F69" s="19" t="str">
        <f>IF(A69&lt;&gt;"", IF(COUNTIF(Technical_Evaluations!C:C, A69), "Present", "Absent"), "")
</f>
        <v>Absent</v>
      </c>
      <c r="G69" s="20" t="str">
        <f>IFERROR(VLOOKUP(A69, SoftSkills_Evaluations!C:L, 8, FALSE), "")</f>
        <v/>
      </c>
      <c r="H69" s="20" t="str">
        <f>IFERROR(VLOOKUP(A69, Technical_Evaluations!C:L, 7, FALSE), "")
</f>
        <v/>
      </c>
      <c r="I69" s="20" t="str">
        <f>IFERROR(VLOOKUP(A69, 'GD Evaluations'!A:G, 7, FALSE), "")</f>
        <v/>
      </c>
      <c r="J69" s="20">
        <f t="shared" si="1"/>
        <v>0</v>
      </c>
      <c r="K69" s="20">
        <f t="shared" si="2"/>
        <v>0</v>
      </c>
    </row>
    <row r="70">
      <c r="A70" s="16" t="s">
        <v>365</v>
      </c>
      <c r="B70" s="16" t="s">
        <v>573</v>
      </c>
      <c r="C70" s="18" t="s">
        <v>53</v>
      </c>
      <c r="D70" s="18" t="s">
        <v>39</v>
      </c>
      <c r="E70" s="19" t="str">
        <f>IF(A70&lt;&gt;"", IF(COUNTIF(Technical_Evaluations!C:C, A70), "Present", "Absent"), "")</f>
        <v>Absent</v>
      </c>
      <c r="F70" s="19" t="str">
        <f>IF(A70&lt;&gt;"", IF(COUNTIF(Technical_Evaluations!C:C, A70), "Present", "Absent"), "")
</f>
        <v>Absent</v>
      </c>
      <c r="G70" s="20">
        <f>IFERROR(VLOOKUP(A70, SoftSkills_Evaluations!C:L, 8, FALSE), "")</f>
        <v>63</v>
      </c>
      <c r="H70" s="20" t="str">
        <f>IFERROR(VLOOKUP(A70, Technical_Evaluations!C:L, 7, FALSE), "")
</f>
        <v/>
      </c>
      <c r="I70" s="20" t="str">
        <f>IFERROR(VLOOKUP(A70, 'GD Evaluations'!A:G, 7, FALSE), "")</f>
        <v/>
      </c>
      <c r="J70" s="20">
        <f t="shared" si="1"/>
        <v>21</v>
      </c>
      <c r="K70" s="20">
        <f t="shared" si="2"/>
        <v>31.5</v>
      </c>
    </row>
    <row r="71">
      <c r="A71" s="16" t="s">
        <v>90</v>
      </c>
      <c r="B71" s="16" t="s">
        <v>528</v>
      </c>
      <c r="C71" s="18" t="s">
        <v>38</v>
      </c>
      <c r="D71" s="18" t="s">
        <v>52</v>
      </c>
      <c r="E71" s="19" t="str">
        <f>IF(A71&lt;&gt;"", IF(COUNTIF(Technical_Evaluations!C:C, A71), "Present", "Absent"), "")</f>
        <v>Present</v>
      </c>
      <c r="F71" s="19" t="str">
        <f>IF(A71&lt;&gt;"", IF(COUNTIF(Technical_Evaluations!C:C, A71), "Present", "Absent"), "")
</f>
        <v>Present</v>
      </c>
      <c r="G71" s="20">
        <f>IFERROR(VLOOKUP(A71, SoftSkills_Evaluations!C:L, 8, FALSE), "")</f>
        <v>65</v>
      </c>
      <c r="H71" s="20">
        <f>IFERROR(VLOOKUP(A71, Technical_Evaluations!C:L, 7, FALSE), "")
</f>
        <v>56.4</v>
      </c>
      <c r="I71" s="20">
        <f>IFERROR(VLOOKUP(A71, 'GD Evaluations'!A:G, 7, FALSE), "")</f>
        <v>51</v>
      </c>
      <c r="J71" s="20">
        <f t="shared" si="1"/>
        <v>57.46666667</v>
      </c>
      <c r="K71" s="20">
        <f t="shared" si="2"/>
        <v>58</v>
      </c>
    </row>
    <row r="72">
      <c r="A72" s="16" t="s">
        <v>577</v>
      </c>
      <c r="B72" s="16" t="s">
        <v>578</v>
      </c>
      <c r="C72" s="18" t="s">
        <v>51</v>
      </c>
      <c r="D72" s="18" t="s">
        <v>39</v>
      </c>
      <c r="E72" s="19" t="str">
        <f>IF(A72&lt;&gt;"", IF(COUNTIF(Technical_Evaluations!C:C, A72), "Present", "Absent"), "")</f>
        <v>Absent</v>
      </c>
      <c r="F72" s="19" t="str">
        <f>IF(A72&lt;&gt;"", IF(COUNTIF(Technical_Evaluations!C:C, A72), "Present", "Absent"), "")
</f>
        <v>Absent</v>
      </c>
      <c r="G72" s="20" t="str">
        <f>IFERROR(VLOOKUP(A72, SoftSkills_Evaluations!C:L, 8, FALSE), "")</f>
        <v/>
      </c>
      <c r="H72" s="20" t="str">
        <f>IFERROR(VLOOKUP(A72, Technical_Evaluations!C:L, 7, FALSE), "")
</f>
        <v/>
      </c>
      <c r="I72" s="20" t="str">
        <f>IFERROR(VLOOKUP(A72, 'GD Evaluations'!A:G, 7, FALSE), "")</f>
        <v/>
      </c>
      <c r="J72" s="20">
        <f t="shared" si="1"/>
        <v>0</v>
      </c>
      <c r="K72" s="20">
        <f t="shared" si="2"/>
        <v>0</v>
      </c>
    </row>
    <row r="73">
      <c r="A73" s="16" t="s">
        <v>582</v>
      </c>
      <c r="B73" s="16" t="s">
        <v>583</v>
      </c>
      <c r="C73" s="18" t="s">
        <v>51</v>
      </c>
      <c r="D73" s="18" t="s">
        <v>52</v>
      </c>
      <c r="E73" s="19" t="str">
        <f>IF(A73&lt;&gt;"", IF(COUNTIF(Technical_Evaluations!C:C, A73), "Present", "Absent"), "")</f>
        <v>Absent</v>
      </c>
      <c r="F73" s="19" t="str">
        <f>IF(A73&lt;&gt;"", IF(COUNTIF(Technical_Evaluations!C:C, A73), "Present", "Absent"), "")
</f>
        <v>Absent</v>
      </c>
      <c r="G73" s="20" t="str">
        <f>IFERROR(VLOOKUP(A73, SoftSkills_Evaluations!C:L, 8, FALSE), "")</f>
        <v/>
      </c>
      <c r="H73" s="20" t="str">
        <f>IFERROR(VLOOKUP(A73, Technical_Evaluations!C:L, 7, FALSE), "")
</f>
        <v/>
      </c>
      <c r="I73" s="20" t="str">
        <f>IFERROR(VLOOKUP(A73, 'GD Evaluations'!A:G, 7, FALSE), "")</f>
        <v/>
      </c>
      <c r="J73" s="20">
        <f t="shared" si="1"/>
        <v>0</v>
      </c>
      <c r="K73" s="20">
        <f t="shared" si="2"/>
        <v>0</v>
      </c>
    </row>
    <row r="74">
      <c r="A74" s="64" t="s">
        <v>308</v>
      </c>
      <c r="B74" s="64" t="s">
        <v>481</v>
      </c>
      <c r="C74" s="65" t="s">
        <v>53</v>
      </c>
      <c r="D74" s="65" t="s">
        <v>39</v>
      </c>
      <c r="E74" s="19" t="str">
        <f>IF(A74&lt;&gt;"", IF(COUNTIF(Technical_Evaluations!C:C, A74), "Present", "Absent"), "")</f>
        <v>Present</v>
      </c>
      <c r="F74" s="19" t="str">
        <f>IF(A74&lt;&gt;"", IF(COUNTIF(Technical_Evaluations!C:C, A74), "Present", "Absent"), "")
</f>
        <v>Present</v>
      </c>
      <c r="G74" s="20">
        <f>IFERROR(VLOOKUP(A74, SoftSkills_Evaluations!C:L, 8, FALSE), "")</f>
        <v>81.8</v>
      </c>
      <c r="H74" s="20">
        <f>IFERROR(VLOOKUP(A74, Technical_Evaluations!C:L, 7, FALSE), "")
</f>
        <v>93.8</v>
      </c>
      <c r="I74" s="20" t="str">
        <f>IFERROR(VLOOKUP(A74, 'GD Evaluations'!A:G, 7, FALSE), "")</f>
        <v/>
      </c>
      <c r="J74" s="20">
        <f t="shared" si="1"/>
        <v>58.53333333</v>
      </c>
      <c r="K74" s="20">
        <f t="shared" si="2"/>
        <v>40.9</v>
      </c>
    </row>
    <row r="75">
      <c r="A75" s="16" t="s">
        <v>157</v>
      </c>
      <c r="B75" s="16" t="s">
        <v>591</v>
      </c>
      <c r="C75" s="18" t="s">
        <v>38</v>
      </c>
      <c r="D75" s="18" t="s">
        <v>39</v>
      </c>
      <c r="E75" s="19" t="str">
        <f>IF(A75&lt;&gt;"", IF(COUNTIF(Technical_Evaluations!C:C, A75), "Present", "Absent"), "")</f>
        <v>Absent</v>
      </c>
      <c r="F75" s="19" t="str">
        <f>IF(A75&lt;&gt;"", IF(COUNTIF(Technical_Evaluations!C:C, A75), "Present", "Absent"), "")
</f>
        <v>Absent</v>
      </c>
      <c r="G75" s="20" t="str">
        <f>IFERROR(VLOOKUP(A75, SoftSkills_Evaluations!C:L, 8, FALSE), "")</f>
        <v/>
      </c>
      <c r="H75" s="20" t="str">
        <f>IFERROR(VLOOKUP(A75, Technical_Evaluations!C:L, 7, FALSE), "")
</f>
        <v/>
      </c>
      <c r="I75" s="20">
        <f>IFERROR(VLOOKUP(A75, 'GD Evaluations'!A:G, 7, FALSE), "")</f>
        <v>67</v>
      </c>
      <c r="J75" s="20">
        <f t="shared" si="1"/>
        <v>22.33333333</v>
      </c>
      <c r="K75" s="20">
        <f t="shared" si="2"/>
        <v>33.5</v>
      </c>
    </row>
    <row r="76">
      <c r="A76" s="16" t="s">
        <v>594</v>
      </c>
      <c r="B76" s="16" t="s">
        <v>595</v>
      </c>
      <c r="C76" s="18" t="s">
        <v>53</v>
      </c>
      <c r="D76" s="18" t="s">
        <v>39</v>
      </c>
      <c r="E76" s="19" t="str">
        <f>IF(A76&lt;&gt;"", IF(COUNTIF(Technical_Evaluations!C:C, A76), "Present", "Absent"), "")</f>
        <v>Absent</v>
      </c>
      <c r="F76" s="19" t="str">
        <f>IF(A76&lt;&gt;"", IF(COUNTIF(Technical_Evaluations!C:C, A76), "Present", "Absent"), "")
</f>
        <v>Absent</v>
      </c>
      <c r="G76" s="20" t="str">
        <f>IFERROR(VLOOKUP(A76, SoftSkills_Evaluations!C:L, 8, FALSE), "")</f>
        <v/>
      </c>
      <c r="H76" s="20" t="str">
        <f>IFERROR(VLOOKUP(A76, Technical_Evaluations!C:L, 7, FALSE), "")
</f>
        <v/>
      </c>
      <c r="I76" s="20">
        <f>IFERROR(VLOOKUP(A76, 'GD Evaluations'!A:G, 7, FALSE), "")</f>
        <v>12</v>
      </c>
      <c r="J76" s="20">
        <f t="shared" si="1"/>
        <v>4</v>
      </c>
      <c r="K76" s="20">
        <f t="shared" si="2"/>
        <v>6</v>
      </c>
    </row>
    <row r="77">
      <c r="A77" s="16" t="s">
        <v>321</v>
      </c>
      <c r="B77" s="16" t="s">
        <v>537</v>
      </c>
      <c r="C77" s="18" t="s">
        <v>51</v>
      </c>
      <c r="D77" s="18" t="s">
        <v>39</v>
      </c>
      <c r="E77" s="19" t="str">
        <f>IF(A77&lt;&gt;"", IF(COUNTIF(Technical_Evaluations!C:C, A77), "Present", "Absent"), "")</f>
        <v>Present</v>
      </c>
      <c r="F77" s="19" t="str">
        <f>IF(A77&lt;&gt;"", IF(COUNTIF(Technical_Evaluations!C:C, A77), "Present", "Absent"), "")
</f>
        <v>Present</v>
      </c>
      <c r="G77" s="20" t="str">
        <f>IFERROR(VLOOKUP(A77, SoftSkills_Evaluations!C:L, 8, FALSE), "")</f>
        <v/>
      </c>
      <c r="H77" s="20">
        <f>IFERROR(VLOOKUP(A77, Technical_Evaluations!C:L, 7, FALSE), "")
</f>
        <v>77.6</v>
      </c>
      <c r="I77" s="20">
        <f>IFERROR(VLOOKUP(A77, 'GD Evaluations'!A:G, 7, FALSE), "")</f>
        <v>15</v>
      </c>
      <c r="J77" s="20">
        <f t="shared" si="1"/>
        <v>30.86666667</v>
      </c>
      <c r="K77" s="20">
        <f t="shared" si="2"/>
        <v>7.5</v>
      </c>
    </row>
    <row r="78">
      <c r="A78" s="16" t="s">
        <v>603</v>
      </c>
      <c r="B78" s="16" t="s">
        <v>604</v>
      </c>
      <c r="C78" s="18" t="s">
        <v>38</v>
      </c>
      <c r="D78" s="18" t="s">
        <v>39</v>
      </c>
      <c r="E78" s="19" t="str">
        <f>IF(A78&lt;&gt;"", IF(COUNTIF(Technical_Evaluations!C:C, A78), "Present", "Absent"), "")</f>
        <v>Absent</v>
      </c>
      <c r="F78" s="19" t="str">
        <f>IF(A78&lt;&gt;"", IF(COUNTIF(Technical_Evaluations!C:C, A78), "Present", "Absent"), "")
</f>
        <v>Absent</v>
      </c>
      <c r="G78" s="20" t="str">
        <f>IFERROR(VLOOKUP(A78, SoftSkills_Evaluations!C:L, 8, FALSE), "")</f>
        <v/>
      </c>
      <c r="H78" s="20" t="str">
        <f>IFERROR(VLOOKUP(A78, Technical_Evaluations!C:L, 7, FALSE), "")
</f>
        <v/>
      </c>
      <c r="I78" s="20" t="str">
        <f>IFERROR(VLOOKUP(A78, 'GD Evaluations'!A:G, 7, FALSE), "")</f>
        <v/>
      </c>
      <c r="J78" s="20">
        <f t="shared" si="1"/>
        <v>0</v>
      </c>
      <c r="K78" s="20">
        <f t="shared" si="2"/>
        <v>0</v>
      </c>
    </row>
    <row r="79">
      <c r="A79" s="16" t="s">
        <v>610</v>
      </c>
      <c r="B79" s="16" t="s">
        <v>611</v>
      </c>
      <c r="C79" s="18" t="s">
        <v>51</v>
      </c>
      <c r="D79" s="18" t="s">
        <v>52</v>
      </c>
      <c r="E79" s="19" t="str">
        <f>IF(A79&lt;&gt;"", IF(COUNTIF(Technical_Evaluations!C:C, A79), "Present", "Absent"), "")</f>
        <v>Absent</v>
      </c>
      <c r="F79" s="19" t="str">
        <f>IF(A79&lt;&gt;"", IF(COUNTIF(Technical_Evaluations!C:C, A79), "Present", "Absent"), "")
</f>
        <v>Absent</v>
      </c>
      <c r="G79" s="20" t="str">
        <f>IFERROR(VLOOKUP(A79, SoftSkills_Evaluations!C:L, 8, FALSE), "")</f>
        <v/>
      </c>
      <c r="H79" s="20" t="str">
        <f>IFERROR(VLOOKUP(A79, Technical_Evaluations!C:L, 7, FALSE), "")
</f>
        <v/>
      </c>
      <c r="I79" s="20" t="str">
        <f>IFERROR(VLOOKUP(A79, 'GD Evaluations'!A:G, 7, FALSE), "")</f>
        <v/>
      </c>
      <c r="J79" s="20">
        <f t="shared" si="1"/>
        <v>0</v>
      </c>
      <c r="K79" s="20">
        <f t="shared" si="2"/>
        <v>0</v>
      </c>
    </row>
    <row r="80">
      <c r="A80" s="16" t="s">
        <v>615</v>
      </c>
      <c r="B80" s="16" t="s">
        <v>616</v>
      </c>
      <c r="C80" s="18" t="s">
        <v>51</v>
      </c>
      <c r="D80" s="18" t="s">
        <v>39</v>
      </c>
      <c r="E80" s="19" t="str">
        <f>IF(A80&lt;&gt;"", IF(COUNTIF(Technical_Evaluations!C:C, A80), "Present", "Absent"), "")</f>
        <v>Absent</v>
      </c>
      <c r="F80" s="19" t="str">
        <f>IF(A80&lt;&gt;"", IF(COUNTIF(Technical_Evaluations!C:C, A80), "Present", "Absent"), "")
</f>
        <v>Absent</v>
      </c>
      <c r="G80" s="20" t="str">
        <f>IFERROR(VLOOKUP(A80, SoftSkills_Evaluations!C:L, 8, FALSE), "")</f>
        <v/>
      </c>
      <c r="H80" s="20" t="str">
        <f>IFERROR(VLOOKUP(A80, Technical_Evaluations!C:L, 7, FALSE), "")
</f>
        <v/>
      </c>
      <c r="I80" s="20" t="str">
        <f>IFERROR(VLOOKUP(A80, 'GD Evaluations'!A:G, 7, FALSE), "")</f>
        <v/>
      </c>
      <c r="J80" s="20">
        <f t="shared" si="1"/>
        <v>0</v>
      </c>
      <c r="K80" s="20">
        <f t="shared" si="2"/>
        <v>0</v>
      </c>
    </row>
    <row r="81">
      <c r="A81" s="16" t="s">
        <v>620</v>
      </c>
      <c r="B81" s="16" t="s">
        <v>622</v>
      </c>
      <c r="C81" s="18" t="s">
        <v>51</v>
      </c>
      <c r="D81" s="18" t="s">
        <v>39</v>
      </c>
      <c r="E81" s="19" t="str">
        <f>IF(A81&lt;&gt;"", IF(COUNTIF(Technical_Evaluations!C:C, A81), "Present", "Absent"), "")</f>
        <v>Absent</v>
      </c>
      <c r="F81" s="19" t="str">
        <f>IF(A81&lt;&gt;"", IF(COUNTIF(Technical_Evaluations!C:C, A81), "Present", "Absent"), "")
</f>
        <v>Absent</v>
      </c>
      <c r="G81" s="20" t="str">
        <f>IFERROR(VLOOKUP(A81, SoftSkills_Evaluations!C:L, 8, FALSE), "")</f>
        <v/>
      </c>
      <c r="H81" s="20" t="str">
        <f>IFERROR(VLOOKUP(A81, Technical_Evaluations!C:L, 7, FALSE), "")
</f>
        <v/>
      </c>
      <c r="I81" s="20" t="str">
        <f>IFERROR(VLOOKUP(A81, 'GD Evaluations'!A:G, 7, FALSE), "")</f>
        <v/>
      </c>
      <c r="J81" s="20">
        <f t="shared" si="1"/>
        <v>0</v>
      </c>
      <c r="K81" s="20">
        <f t="shared" si="2"/>
        <v>0</v>
      </c>
    </row>
    <row r="82">
      <c r="A82" s="16" t="s">
        <v>626</v>
      </c>
      <c r="B82" s="16" t="s">
        <v>628</v>
      </c>
      <c r="C82" s="18" t="s">
        <v>53</v>
      </c>
      <c r="D82" s="18" t="s">
        <v>52</v>
      </c>
      <c r="E82" s="19" t="str">
        <f>IF(A82&lt;&gt;"", IF(COUNTIF(Technical_Evaluations!C:C, A82), "Present", "Absent"), "")</f>
        <v>Absent</v>
      </c>
      <c r="F82" s="19" t="str">
        <f>IF(A82&lt;&gt;"", IF(COUNTIF(Technical_Evaluations!C:C, A82), "Present", "Absent"), "")
</f>
        <v>Absent</v>
      </c>
      <c r="G82" s="20" t="str">
        <f>IFERROR(VLOOKUP(A82, SoftSkills_Evaluations!C:L, 8, FALSE), "")</f>
        <v/>
      </c>
      <c r="H82" s="20" t="str">
        <f>IFERROR(VLOOKUP(A82, Technical_Evaluations!C:L, 7, FALSE), "")
</f>
        <v/>
      </c>
      <c r="I82" s="20" t="str">
        <f>IFERROR(VLOOKUP(A82, 'GD Evaluations'!A:G, 7, FALSE), "")</f>
        <v/>
      </c>
      <c r="J82" s="20">
        <f t="shared" si="1"/>
        <v>0</v>
      </c>
      <c r="K82" s="20">
        <f t="shared" si="2"/>
        <v>0</v>
      </c>
    </row>
    <row r="83">
      <c r="A83" s="18" t="s">
        <v>634</v>
      </c>
      <c r="B83" s="16" t="s">
        <v>635</v>
      </c>
      <c r="C83" s="18" t="s">
        <v>38</v>
      </c>
      <c r="D83" s="18" t="s">
        <v>52</v>
      </c>
      <c r="E83" s="19" t="str">
        <f>IF(A83&lt;&gt;"", IF(COUNTIF(Technical_Evaluations!C:C, A83), "Present", "Absent"), "")</f>
        <v>Absent</v>
      </c>
      <c r="F83" s="19" t="str">
        <f>IF(A83&lt;&gt;"", IF(COUNTIF(Technical_Evaluations!C:C, A83), "Present", "Absent"), "")
</f>
        <v>Absent</v>
      </c>
      <c r="G83" s="20" t="str">
        <f>IFERROR(VLOOKUP(A83, SoftSkills_Evaluations!C:L, 8, FALSE), "")</f>
        <v/>
      </c>
      <c r="H83" s="20" t="str">
        <f>IFERROR(VLOOKUP(A83, Technical_Evaluations!C:L, 7, FALSE), "")
</f>
        <v/>
      </c>
      <c r="I83" s="20" t="str">
        <f>IFERROR(VLOOKUP(A83, 'GD Evaluations'!A:G, 7, FALSE), "")</f>
        <v/>
      </c>
      <c r="J83" s="20">
        <f t="shared" si="1"/>
        <v>0</v>
      </c>
      <c r="K83" s="20">
        <f t="shared" si="2"/>
        <v>0</v>
      </c>
    </row>
    <row r="84">
      <c r="A84" s="16" t="s">
        <v>637</v>
      </c>
      <c r="B84" s="16" t="s">
        <v>638</v>
      </c>
      <c r="C84" s="18" t="s">
        <v>38</v>
      </c>
      <c r="D84" s="18" t="s">
        <v>52</v>
      </c>
      <c r="E84" s="19" t="str">
        <f>IF(A84&lt;&gt;"", IF(COUNTIF(Technical_Evaluations!C:C, A84), "Present", "Absent"), "")</f>
        <v>Absent</v>
      </c>
      <c r="F84" s="19" t="str">
        <f>IF(A84&lt;&gt;"", IF(COUNTIF(Technical_Evaluations!C:C, A84), "Present", "Absent"), "")
</f>
        <v>Absent</v>
      </c>
      <c r="G84" s="20" t="str">
        <f>IFERROR(VLOOKUP(A84, SoftSkills_Evaluations!C:L, 8, FALSE), "")</f>
        <v/>
      </c>
      <c r="H84" s="20" t="str">
        <f>IFERROR(VLOOKUP(A84, Technical_Evaluations!C:L, 7, FALSE), "")
</f>
        <v/>
      </c>
      <c r="I84" s="20" t="str">
        <f>IFERROR(VLOOKUP(A84, 'GD Evaluations'!A:G, 7, FALSE), "")</f>
        <v/>
      </c>
      <c r="J84" s="20">
        <f t="shared" si="1"/>
        <v>0</v>
      </c>
      <c r="K84" s="20">
        <f t="shared" si="2"/>
        <v>0</v>
      </c>
    </row>
    <row r="85">
      <c r="A85" s="16" t="s">
        <v>639</v>
      </c>
      <c r="B85" s="16" t="s">
        <v>640</v>
      </c>
      <c r="C85" s="18" t="s">
        <v>51</v>
      </c>
      <c r="D85" s="18" t="s">
        <v>52</v>
      </c>
      <c r="E85" s="19" t="str">
        <f>IF(A85&lt;&gt;"", IF(COUNTIF(Technical_Evaluations!C:C, A85), "Present", "Absent"), "")</f>
        <v>Absent</v>
      </c>
      <c r="F85" s="19" t="str">
        <f>IF(A85&lt;&gt;"", IF(COUNTIF(Technical_Evaluations!C:C, A85), "Present", "Absent"), "")
</f>
        <v>Absent</v>
      </c>
      <c r="G85" s="20" t="str">
        <f>IFERROR(VLOOKUP(A85, SoftSkills_Evaluations!C:L, 8, FALSE), "")</f>
        <v/>
      </c>
      <c r="H85" s="20" t="str">
        <f>IFERROR(VLOOKUP(A85, Technical_Evaluations!C:L, 7, FALSE), "")
</f>
        <v/>
      </c>
      <c r="I85" s="20" t="str">
        <f>IFERROR(VLOOKUP(A85, 'GD Evaluations'!A:G, 7, FALSE), "")</f>
        <v/>
      </c>
      <c r="J85" s="20">
        <f t="shared" si="1"/>
        <v>0</v>
      </c>
      <c r="K85" s="20">
        <f t="shared" si="2"/>
        <v>0</v>
      </c>
    </row>
    <row r="86">
      <c r="A86" s="16" t="s">
        <v>641</v>
      </c>
      <c r="B86" s="16" t="s">
        <v>642</v>
      </c>
      <c r="C86" s="18" t="s">
        <v>51</v>
      </c>
      <c r="D86" s="18" t="s">
        <v>39</v>
      </c>
      <c r="E86" s="19" t="str">
        <f>IF(A86&lt;&gt;"", IF(COUNTIF(Technical_Evaluations!C:C, A86), "Present", "Absent"), "")</f>
        <v>Absent</v>
      </c>
      <c r="F86" s="19" t="str">
        <f>IF(A86&lt;&gt;"", IF(COUNTIF(Technical_Evaluations!C:C, A86), "Present", "Absent"), "")
</f>
        <v>Absent</v>
      </c>
      <c r="G86" s="20" t="str">
        <f>IFERROR(VLOOKUP(A86, SoftSkills_Evaluations!C:L, 8, FALSE), "")</f>
        <v/>
      </c>
      <c r="H86" s="20" t="str">
        <f>IFERROR(VLOOKUP(A86, Technical_Evaluations!C:L, 7, FALSE), "")
</f>
        <v/>
      </c>
      <c r="I86" s="20" t="str">
        <f>IFERROR(VLOOKUP(A86, 'GD Evaluations'!A:G, 7, FALSE), "")</f>
        <v/>
      </c>
      <c r="J86" s="20">
        <f t="shared" si="1"/>
        <v>0</v>
      </c>
      <c r="K86" s="20">
        <f t="shared" si="2"/>
        <v>0</v>
      </c>
    </row>
    <row r="87">
      <c r="A87" s="16" t="s">
        <v>234</v>
      </c>
      <c r="B87" s="16" t="s">
        <v>496</v>
      </c>
      <c r="C87" s="18" t="s">
        <v>53</v>
      </c>
      <c r="D87" s="18" t="s">
        <v>52</v>
      </c>
      <c r="E87" s="19" t="str">
        <f>IF(A87&lt;&gt;"", IF(COUNTIF(Technical_Evaluations!C:C, A87), "Present", "Absent"), "")</f>
        <v>Present</v>
      </c>
      <c r="F87" s="19" t="str">
        <f>IF(A87&lt;&gt;"", IF(COUNTIF(Technical_Evaluations!C:C, A87), "Present", "Absent"), "")
</f>
        <v>Present</v>
      </c>
      <c r="G87" s="20">
        <f>IFERROR(VLOOKUP(A87, SoftSkills_Evaluations!C:L, 8, FALSE), "")</f>
        <v>82</v>
      </c>
      <c r="H87" s="20">
        <f>IFERROR(VLOOKUP(A87, Technical_Evaluations!C:L, 7, FALSE), "")
</f>
        <v>71</v>
      </c>
      <c r="I87" s="20">
        <f>IFERROR(VLOOKUP(A87, 'GD Evaluations'!A:G, 7, FALSE), "")</f>
        <v>57</v>
      </c>
      <c r="J87" s="20">
        <f t="shared" si="1"/>
        <v>70</v>
      </c>
      <c r="K87" s="20">
        <f t="shared" si="2"/>
        <v>69.5</v>
      </c>
    </row>
    <row r="88">
      <c r="A88" s="16" t="s">
        <v>643</v>
      </c>
      <c r="B88" s="16" t="s">
        <v>644</v>
      </c>
      <c r="C88" s="18" t="s">
        <v>51</v>
      </c>
      <c r="D88" s="18" t="s">
        <v>39</v>
      </c>
      <c r="E88" s="19" t="str">
        <f>IF(A88&lt;&gt;"", IF(COUNTIF(Technical_Evaluations!C:C, A88), "Present", "Absent"), "")</f>
        <v>Absent</v>
      </c>
      <c r="F88" s="19" t="str">
        <f>IF(A88&lt;&gt;"", IF(COUNTIF(Technical_Evaluations!C:C, A88), "Present", "Absent"), "")
</f>
        <v>Absent</v>
      </c>
      <c r="G88" s="20" t="str">
        <f>IFERROR(VLOOKUP(A88, SoftSkills_Evaluations!C:L, 8, FALSE), "")</f>
        <v/>
      </c>
      <c r="H88" s="20" t="str">
        <f>IFERROR(VLOOKUP(A88, Technical_Evaluations!C:L, 7, FALSE), "")
</f>
        <v/>
      </c>
      <c r="I88" s="20" t="str">
        <f>IFERROR(VLOOKUP(A88, 'GD Evaluations'!A:G, 7, FALSE), "")</f>
        <v/>
      </c>
      <c r="J88" s="20">
        <f t="shared" si="1"/>
        <v>0</v>
      </c>
      <c r="K88" s="20">
        <f t="shared" si="2"/>
        <v>0</v>
      </c>
    </row>
    <row r="89">
      <c r="A89" s="16" t="s">
        <v>148</v>
      </c>
      <c r="B89" s="16" t="s">
        <v>519</v>
      </c>
      <c r="C89" s="18" t="s">
        <v>38</v>
      </c>
      <c r="D89" s="18" t="s">
        <v>52</v>
      </c>
      <c r="E89" s="19" t="str">
        <f>IF(A89&lt;&gt;"", IF(COUNTIF(Technical_Evaluations!C:C, A89), "Present", "Absent"), "")</f>
        <v>Present</v>
      </c>
      <c r="F89" s="19" t="str">
        <f>IF(A89&lt;&gt;"", IF(COUNTIF(Technical_Evaluations!C:C, A89), "Present", "Absent"), "")
</f>
        <v>Present</v>
      </c>
      <c r="G89" s="20">
        <f>IFERROR(VLOOKUP(A89, SoftSkills_Evaluations!C:L, 8, FALSE), "")</f>
        <v>60</v>
      </c>
      <c r="H89" s="20">
        <f>IFERROR(VLOOKUP(A89, Technical_Evaluations!C:L, 7, FALSE), "")
</f>
        <v>36.6</v>
      </c>
      <c r="I89" s="20">
        <f>IFERROR(VLOOKUP(A89, 'GD Evaluations'!A:G, 7, FALSE), "")</f>
        <v>78</v>
      </c>
      <c r="J89" s="20">
        <f t="shared" si="1"/>
        <v>58.2</v>
      </c>
      <c r="K89" s="20">
        <f t="shared" si="2"/>
        <v>69</v>
      </c>
    </row>
    <row r="90">
      <c r="A90" s="16" t="s">
        <v>77</v>
      </c>
      <c r="B90" s="16" t="s">
        <v>520</v>
      </c>
      <c r="C90" s="18" t="s">
        <v>38</v>
      </c>
      <c r="D90" s="18" t="s">
        <v>39</v>
      </c>
      <c r="E90" s="19" t="str">
        <f>IF(A90&lt;&gt;"", IF(COUNTIF(Technical_Evaluations!C:C, A90), "Present", "Absent"), "")</f>
        <v>Absent</v>
      </c>
      <c r="F90" s="19" t="str">
        <f>IF(A90&lt;&gt;"", IF(COUNTIF(Technical_Evaluations!C:C, A90), "Present", "Absent"), "")
</f>
        <v>Absent</v>
      </c>
      <c r="G90" s="20">
        <f>IFERROR(VLOOKUP(A90, SoftSkills_Evaluations!C:L, 8, FALSE), "")</f>
        <v>62</v>
      </c>
      <c r="H90" s="20" t="str">
        <f>IFERROR(VLOOKUP(A90, Technical_Evaluations!C:L, 7, FALSE), "")
</f>
        <v/>
      </c>
      <c r="I90" s="20">
        <f>IFERROR(VLOOKUP(A90, 'GD Evaluations'!A:G, 7, FALSE), "")</f>
        <v>73</v>
      </c>
      <c r="J90" s="20">
        <f t="shared" si="1"/>
        <v>45</v>
      </c>
      <c r="K90" s="20">
        <f t="shared" si="2"/>
        <v>67.5</v>
      </c>
    </row>
    <row r="91">
      <c r="A91" s="16" t="s">
        <v>316</v>
      </c>
      <c r="B91" s="16" t="s">
        <v>531</v>
      </c>
      <c r="C91" s="18" t="s">
        <v>51</v>
      </c>
      <c r="D91" s="18" t="s">
        <v>39</v>
      </c>
      <c r="E91" s="19" t="str">
        <f>IF(A91&lt;&gt;"", IF(COUNTIF(Technical_Evaluations!C:C, A91), "Present", "Absent"), "")</f>
        <v>Present</v>
      </c>
      <c r="F91" s="19" t="str">
        <f>IF(A91&lt;&gt;"", IF(COUNTIF(Technical_Evaluations!C:C, A91), "Present", "Absent"), "")
</f>
        <v>Present</v>
      </c>
      <c r="G91" s="20" t="str">
        <f>IFERROR(VLOOKUP(A91, SoftSkills_Evaluations!C:L, 8, FALSE), "")</f>
        <v/>
      </c>
      <c r="H91" s="20">
        <f>IFERROR(VLOOKUP(A91, Technical_Evaluations!C:L, 7, FALSE), "")
</f>
        <v>92.6</v>
      </c>
      <c r="I91" s="20">
        <f>IFERROR(VLOOKUP(A91, 'GD Evaluations'!A:G, 7, FALSE), "")</f>
        <v>18</v>
      </c>
      <c r="J91" s="20">
        <f t="shared" si="1"/>
        <v>36.86666667</v>
      </c>
      <c r="K91" s="20">
        <f t="shared" si="2"/>
        <v>9</v>
      </c>
    </row>
    <row r="92">
      <c r="A92" s="16" t="s">
        <v>645</v>
      </c>
      <c r="B92" s="16" t="s">
        <v>646</v>
      </c>
      <c r="C92" s="18" t="s">
        <v>38</v>
      </c>
      <c r="D92" s="18" t="s">
        <v>52</v>
      </c>
      <c r="E92" s="19" t="str">
        <f>IF(A92&lt;&gt;"", IF(COUNTIF(Technical_Evaluations!C:C, A92), "Present", "Absent"), "")</f>
        <v>Absent</v>
      </c>
      <c r="F92" s="19" t="str">
        <f>IF(A92&lt;&gt;"", IF(COUNTIF(Technical_Evaluations!C:C, A92), "Present", "Absent"), "")
</f>
        <v>Absent</v>
      </c>
      <c r="G92" s="20" t="str">
        <f>IFERROR(VLOOKUP(A92, SoftSkills_Evaluations!C:L, 8, FALSE), "")</f>
        <v/>
      </c>
      <c r="H92" s="20" t="str">
        <f>IFERROR(VLOOKUP(A92, Technical_Evaluations!C:L, 7, FALSE), "")
</f>
        <v/>
      </c>
      <c r="I92" s="20" t="str">
        <f>IFERROR(VLOOKUP(A92, 'GD Evaluations'!A:G, 7, FALSE), "")</f>
        <v/>
      </c>
      <c r="J92" s="20">
        <f t="shared" si="1"/>
        <v>0</v>
      </c>
      <c r="K92" s="20">
        <f t="shared" si="2"/>
        <v>0</v>
      </c>
    </row>
    <row r="93">
      <c r="A93" s="16" t="s">
        <v>116</v>
      </c>
      <c r="B93" s="16" t="s">
        <v>545</v>
      </c>
      <c r="C93" s="18" t="s">
        <v>53</v>
      </c>
      <c r="D93" s="18" t="s">
        <v>52</v>
      </c>
      <c r="E93" s="19" t="str">
        <f>IF(A93&lt;&gt;"", IF(COUNTIF(Technical_Evaluations!C:C, A93), "Present", "Absent"), "")</f>
        <v>Present</v>
      </c>
      <c r="F93" s="19" t="str">
        <f>IF(A93&lt;&gt;"", IF(COUNTIF(Technical_Evaluations!C:C, A93), "Present", "Absent"), "")
</f>
        <v>Present</v>
      </c>
      <c r="G93" s="20">
        <f>IFERROR(VLOOKUP(A93, SoftSkills_Evaluations!C:L, 8, FALSE), "")</f>
        <v>46.4</v>
      </c>
      <c r="H93" s="20">
        <f>IFERROR(VLOOKUP(A93, Technical_Evaluations!C:L, 7, FALSE), "")
</f>
        <v>65.8</v>
      </c>
      <c r="I93" s="20">
        <f>IFERROR(VLOOKUP(A93, 'GD Evaluations'!A:G, 7, FALSE), "")</f>
        <v>55</v>
      </c>
      <c r="J93" s="20">
        <f t="shared" si="1"/>
        <v>55.73333333</v>
      </c>
      <c r="K93" s="20">
        <f t="shared" si="2"/>
        <v>50.7</v>
      </c>
    </row>
    <row r="94">
      <c r="A94" s="16" t="s">
        <v>342</v>
      </c>
      <c r="B94" s="16" t="s">
        <v>593</v>
      </c>
      <c r="C94" s="18" t="s">
        <v>38</v>
      </c>
      <c r="D94" s="18" t="s">
        <v>52</v>
      </c>
      <c r="E94" s="19" t="str">
        <f>IF(A94&lt;&gt;"", IF(COUNTIF(Technical_Evaluations!C:C, A94), "Present", "Absent"), "")</f>
        <v>Absent</v>
      </c>
      <c r="F94" s="19" t="str">
        <f>IF(A94&lt;&gt;"", IF(COUNTIF(Technical_Evaluations!C:C, A94), "Present", "Absent"), "")
</f>
        <v>Absent</v>
      </c>
      <c r="G94" s="20">
        <f>IFERROR(VLOOKUP(A94, SoftSkills_Evaluations!C:L, 8, FALSE), "")</f>
        <v>68.4</v>
      </c>
      <c r="H94" s="20" t="str">
        <f>IFERROR(VLOOKUP(A94, Technical_Evaluations!C:L, 7, FALSE), "")
</f>
        <v/>
      </c>
      <c r="I94" s="20" t="str">
        <f>IFERROR(VLOOKUP(A94, 'GD Evaluations'!A:G, 7, FALSE), "")</f>
        <v/>
      </c>
      <c r="J94" s="20">
        <f t="shared" si="1"/>
        <v>22.8</v>
      </c>
      <c r="K94" s="20">
        <f t="shared" si="2"/>
        <v>34.2</v>
      </c>
    </row>
    <row r="95">
      <c r="A95" s="16" t="s">
        <v>228</v>
      </c>
      <c r="B95" s="16" t="s">
        <v>501</v>
      </c>
      <c r="C95" s="18" t="s">
        <v>53</v>
      </c>
      <c r="D95" s="18" t="s">
        <v>52</v>
      </c>
      <c r="E95" s="19" t="str">
        <f>IF(A95&lt;&gt;"", IF(COUNTIF(Technical_Evaluations!C:C, A95), "Present", "Absent"), "")</f>
        <v>Present</v>
      </c>
      <c r="F95" s="19" t="str">
        <f>IF(A95&lt;&gt;"", IF(COUNTIF(Technical_Evaluations!C:C, A95), "Present", "Absent"), "")
</f>
        <v>Present</v>
      </c>
      <c r="G95" s="20">
        <f>IFERROR(VLOOKUP(A95, SoftSkills_Evaluations!C:L, 8, FALSE), "")</f>
        <v>80</v>
      </c>
      <c r="H95" s="20">
        <f>IFERROR(VLOOKUP(A95, Technical_Evaluations!C:L, 7, FALSE), "")
</f>
        <v>44.6</v>
      </c>
      <c r="I95" s="20">
        <f>IFERROR(VLOOKUP(A95, 'GD Evaluations'!A:G, 7, FALSE), "")</f>
        <v>76</v>
      </c>
      <c r="J95" s="20">
        <f t="shared" si="1"/>
        <v>66.86666667</v>
      </c>
      <c r="K95" s="20">
        <f t="shared" si="2"/>
        <v>78</v>
      </c>
    </row>
    <row r="96">
      <c r="A96" s="16" t="s">
        <v>87</v>
      </c>
      <c r="B96" s="16" t="s">
        <v>505</v>
      </c>
      <c r="C96" s="18" t="s">
        <v>38</v>
      </c>
      <c r="D96" s="18" t="s">
        <v>52</v>
      </c>
      <c r="E96" s="19" t="str">
        <f>IF(A96&lt;&gt;"", IF(COUNTIF(Technical_Evaluations!C:C, A96), "Present", "Absent"), "")</f>
        <v>Present</v>
      </c>
      <c r="F96" s="19" t="str">
        <f>IF(A96&lt;&gt;"", IF(COUNTIF(Technical_Evaluations!C:C, A96), "Present", "Absent"), "")
</f>
        <v>Present</v>
      </c>
      <c r="G96" s="20">
        <f>IFERROR(VLOOKUP(A96, SoftSkills_Evaluations!C:L, 8, FALSE), "")</f>
        <v>77</v>
      </c>
      <c r="H96" s="20">
        <f>IFERROR(VLOOKUP(A96, Technical_Evaluations!C:L, 7, FALSE), "")
</f>
        <v>62.2</v>
      </c>
      <c r="I96" s="20">
        <f>IFERROR(VLOOKUP(A96, 'GD Evaluations'!A:G, 7, FALSE), "")</f>
        <v>54</v>
      </c>
      <c r="J96" s="20">
        <f t="shared" si="1"/>
        <v>64.4</v>
      </c>
      <c r="K96" s="20">
        <f t="shared" si="2"/>
        <v>65.5</v>
      </c>
    </row>
    <row r="97">
      <c r="A97" s="16" t="s">
        <v>140</v>
      </c>
      <c r="B97" s="16" t="s">
        <v>499</v>
      </c>
      <c r="C97" s="18" t="s">
        <v>38</v>
      </c>
      <c r="D97" s="18" t="s">
        <v>59</v>
      </c>
      <c r="E97" s="19" t="str">
        <f>IF(A97&lt;&gt;"", IF(COUNTIF(Technical_Evaluations!C:C, A97), "Present", "Absent"), "")</f>
        <v>Present</v>
      </c>
      <c r="F97" s="19" t="str">
        <f>IF(A97&lt;&gt;"", IF(COUNTIF(Technical_Evaluations!C:C, A97), "Present", "Absent"), "")
</f>
        <v>Present</v>
      </c>
      <c r="G97" s="20">
        <f>IFERROR(VLOOKUP(A97, SoftSkills_Evaluations!C:L, 8, FALSE), "")</f>
        <v>69.2</v>
      </c>
      <c r="H97" s="20">
        <f>IFERROR(VLOOKUP(A97, Technical_Evaluations!C:L, 7, FALSE), "")
</f>
        <v>77</v>
      </c>
      <c r="I97" s="20">
        <f>IFERROR(VLOOKUP(A97, 'GD Evaluations'!A:G, 7, FALSE), "")</f>
        <v>61</v>
      </c>
      <c r="J97" s="20">
        <f t="shared" si="1"/>
        <v>69.06666667</v>
      </c>
      <c r="K97" s="20">
        <f t="shared" si="2"/>
        <v>65.1</v>
      </c>
    </row>
    <row r="98">
      <c r="A98" s="16" t="s">
        <v>110</v>
      </c>
      <c r="B98" s="16" t="s">
        <v>575</v>
      </c>
      <c r="C98" s="18" t="s">
        <v>53</v>
      </c>
      <c r="D98" s="18" t="s">
        <v>52</v>
      </c>
      <c r="E98" s="19" t="str">
        <f>IF(A98&lt;&gt;"", IF(COUNTIF(Technical_Evaluations!C:C, A98), "Present", "Absent"), "")</f>
        <v>Present</v>
      </c>
      <c r="F98" s="19" t="str">
        <f>IF(A98&lt;&gt;"", IF(COUNTIF(Technical_Evaluations!C:C, A98), "Present", "Absent"), "")
</f>
        <v>Present</v>
      </c>
      <c r="G98" s="20">
        <f>IFERROR(VLOOKUP(A98, SoftSkills_Evaluations!C:L, 8, FALSE), "")</f>
        <v>40.2</v>
      </c>
      <c r="H98" s="20">
        <f>IFERROR(VLOOKUP(A98, Technical_Evaluations!C:L, 7, FALSE), "")
</f>
        <v>39.8</v>
      </c>
      <c r="I98" s="20">
        <f>IFERROR(VLOOKUP(A98, 'GD Evaluations'!A:G, 7, FALSE), "")</f>
        <v>49</v>
      </c>
      <c r="J98" s="20">
        <f t="shared" si="1"/>
        <v>43</v>
      </c>
      <c r="K98" s="20">
        <f t="shared" si="2"/>
        <v>44.6</v>
      </c>
    </row>
    <row r="99">
      <c r="A99" s="16" t="s">
        <v>647</v>
      </c>
      <c r="B99" s="16" t="s">
        <v>648</v>
      </c>
      <c r="C99" s="18" t="s">
        <v>38</v>
      </c>
      <c r="D99" s="18" t="s">
        <v>52</v>
      </c>
      <c r="E99" s="19" t="str">
        <f>IF(A99&lt;&gt;"", IF(COUNTIF(Technical_Evaluations!C:C, A99), "Present", "Absent"), "")</f>
        <v>Absent</v>
      </c>
      <c r="F99" s="19" t="str">
        <f>IF(A99&lt;&gt;"", IF(COUNTIF(Technical_Evaluations!C:C, A99), "Present", "Absent"), "")
</f>
        <v>Absent</v>
      </c>
      <c r="G99" s="20" t="str">
        <f>IFERROR(VLOOKUP(A99, SoftSkills_Evaluations!C:L, 8, FALSE), "")</f>
        <v/>
      </c>
      <c r="H99" s="20" t="str">
        <f>IFERROR(VLOOKUP(A99, Technical_Evaluations!C:L, 7, FALSE), "")
</f>
        <v/>
      </c>
      <c r="I99" s="20" t="str">
        <f>IFERROR(VLOOKUP(A99, 'GD Evaluations'!A:G, 7, FALSE), "")</f>
        <v/>
      </c>
      <c r="J99" s="20">
        <f t="shared" si="1"/>
        <v>0</v>
      </c>
      <c r="K99" s="20">
        <f t="shared" si="2"/>
        <v>0</v>
      </c>
    </row>
    <row r="100">
      <c r="A100" s="16" t="s">
        <v>57</v>
      </c>
      <c r="B100" s="16" t="s">
        <v>530</v>
      </c>
      <c r="C100" s="18" t="s">
        <v>51</v>
      </c>
      <c r="D100" s="18" t="s">
        <v>52</v>
      </c>
      <c r="E100" s="19" t="str">
        <f>IF(A100&lt;&gt;"", IF(COUNTIF(Technical_Evaluations!C:C, A100), "Present", "Absent"), "")</f>
        <v>Present</v>
      </c>
      <c r="F100" s="19" t="str">
        <f>IF(A100&lt;&gt;"", IF(COUNTIF(Technical_Evaluations!C:C, A100), "Present", "Absent"), "")
</f>
        <v>Present</v>
      </c>
      <c r="G100" s="20" t="str">
        <f>IFERROR(VLOOKUP(A100, SoftSkills_Evaluations!C:L, 8, FALSE), "")</f>
        <v/>
      </c>
      <c r="H100" s="20">
        <f>IFERROR(VLOOKUP(A100, Technical_Evaluations!C:L, 7, FALSE), "")
</f>
        <v>65.2</v>
      </c>
      <c r="I100" s="20">
        <f>IFERROR(VLOOKUP(A100, 'GD Evaluations'!A:G, 7, FALSE), "")</f>
        <v>80</v>
      </c>
      <c r="J100" s="20">
        <f t="shared" si="1"/>
        <v>48.4</v>
      </c>
      <c r="K100" s="20">
        <f t="shared" si="2"/>
        <v>40</v>
      </c>
    </row>
    <row r="101">
      <c r="A101" s="16" t="s">
        <v>47</v>
      </c>
      <c r="B101" s="16" t="s">
        <v>492</v>
      </c>
      <c r="C101" s="18" t="s">
        <v>51</v>
      </c>
      <c r="D101" s="18" t="s">
        <v>52</v>
      </c>
      <c r="E101" s="19" t="str">
        <f>IF(A101&lt;&gt;"", IF(COUNTIF(Technical_Evaluations!C:C, A101), "Present", "Absent"), "")</f>
        <v>Present</v>
      </c>
      <c r="F101" s="19" t="str">
        <f>IF(A101&lt;&gt;"", IF(COUNTIF(Technical_Evaluations!C:C, A101), "Present", "Absent"), "")
</f>
        <v>Present</v>
      </c>
      <c r="G101" s="20" t="str">
        <f>IFERROR(VLOOKUP(A101, SoftSkills_Evaluations!C:L, 8, FALSE), "")</f>
        <v/>
      </c>
      <c r="H101" s="20">
        <f>IFERROR(VLOOKUP(A101, Technical_Evaluations!C:L, 7, FALSE), "")
</f>
        <v>67</v>
      </c>
      <c r="I101" s="20">
        <f>IFERROR(VLOOKUP(A101, 'GD Evaluations'!A:G, 7, FALSE), "")</f>
        <v>94</v>
      </c>
      <c r="J101" s="20">
        <f t="shared" si="1"/>
        <v>53.66666667</v>
      </c>
      <c r="K101" s="20">
        <f t="shared" si="2"/>
        <v>47</v>
      </c>
    </row>
    <row r="102">
      <c r="A102" s="16" t="s">
        <v>210</v>
      </c>
      <c r="B102" s="16" t="s">
        <v>551</v>
      </c>
      <c r="C102" s="18" t="s">
        <v>38</v>
      </c>
      <c r="D102" s="18" t="s">
        <v>52</v>
      </c>
      <c r="E102" s="19" t="str">
        <f>IF(A102&lt;&gt;"", IF(COUNTIF(Technical_Evaluations!C:C, A102), "Present", "Absent"), "")</f>
        <v>Present</v>
      </c>
      <c r="F102" s="19" t="str">
        <f>IF(A102&lt;&gt;"", IF(COUNTIF(Technical_Evaluations!C:C, A102), "Present", "Absent"), "")
</f>
        <v>Present</v>
      </c>
      <c r="G102" s="20">
        <f>IFERROR(VLOOKUP(A102, SoftSkills_Evaluations!C:L, 8, FALSE), "")</f>
        <v>62.8</v>
      </c>
      <c r="H102" s="20">
        <f>IFERROR(VLOOKUP(A102, Technical_Evaluations!C:L, 7, FALSE), "")
</f>
        <v>59</v>
      </c>
      <c r="I102" s="20">
        <f>IFERROR(VLOOKUP(A102, 'GD Evaluations'!A:G, 7, FALSE), "")</f>
        <v>40</v>
      </c>
      <c r="J102" s="20">
        <f t="shared" si="1"/>
        <v>53.93333333</v>
      </c>
      <c r="K102" s="20">
        <f t="shared" si="2"/>
        <v>51.4</v>
      </c>
    </row>
    <row r="103">
      <c r="A103" s="16" t="s">
        <v>649</v>
      </c>
      <c r="B103" s="16" t="s">
        <v>650</v>
      </c>
      <c r="C103" s="18" t="s">
        <v>38</v>
      </c>
      <c r="D103" s="18" t="s">
        <v>39</v>
      </c>
      <c r="E103" s="19" t="str">
        <f>IF(A103&lt;&gt;"", IF(COUNTIF(Technical_Evaluations!C:C, A103), "Present", "Absent"), "")</f>
        <v>Absent</v>
      </c>
      <c r="F103" s="19" t="str">
        <f>IF(A103&lt;&gt;"", IF(COUNTIF(Technical_Evaluations!C:C, A103), "Present", "Absent"), "")
</f>
        <v>Absent</v>
      </c>
      <c r="G103" s="20" t="str">
        <f>IFERROR(VLOOKUP(A103, SoftSkills_Evaluations!C:L, 8, FALSE), "")</f>
        <v/>
      </c>
      <c r="H103" s="20" t="str">
        <f>IFERROR(VLOOKUP(A103, Technical_Evaluations!C:L, 7, FALSE), "")
</f>
        <v/>
      </c>
      <c r="I103" s="20" t="str">
        <f>IFERROR(VLOOKUP(A103, 'GD Evaluations'!A:G, 7, FALSE), "")</f>
        <v/>
      </c>
      <c r="J103" s="20">
        <f t="shared" si="1"/>
        <v>0</v>
      </c>
      <c r="K103" s="20">
        <f t="shared" si="2"/>
        <v>0</v>
      </c>
    </row>
    <row r="104">
      <c r="A104" s="16" t="s">
        <v>144</v>
      </c>
      <c r="B104" s="16" t="s">
        <v>576</v>
      </c>
      <c r="C104" s="18" t="s">
        <v>53</v>
      </c>
      <c r="D104" s="18" t="s">
        <v>59</v>
      </c>
      <c r="E104" s="19" t="str">
        <f>IF(A104&lt;&gt;"", IF(COUNTIF(Technical_Evaluations!C:C, A104), "Present", "Absent"), "")</f>
        <v>Present</v>
      </c>
      <c r="F104" s="19" t="str">
        <f>IF(A104&lt;&gt;"", IF(COUNTIF(Technical_Evaluations!C:C, A104), "Present", "Absent"), "")
</f>
        <v>Present</v>
      </c>
      <c r="G104" s="20">
        <f>IFERROR(VLOOKUP(A104, SoftSkills_Evaluations!C:L, 8, FALSE), "")</f>
        <v>66.4</v>
      </c>
      <c r="H104" s="20">
        <f>IFERROR(VLOOKUP(A104, Technical_Evaluations!C:L, 7, FALSE), "")
</f>
        <v>21.2</v>
      </c>
      <c r="I104" s="20">
        <f>IFERROR(VLOOKUP(A104, 'GD Evaluations'!A:G, 7, FALSE), "")</f>
        <v>40</v>
      </c>
      <c r="J104" s="20">
        <f t="shared" si="1"/>
        <v>42.53333333</v>
      </c>
      <c r="K104" s="20">
        <f t="shared" si="2"/>
        <v>53.2</v>
      </c>
    </row>
    <row r="105">
      <c r="A105" s="16" t="s">
        <v>651</v>
      </c>
      <c r="B105" s="16" t="s">
        <v>652</v>
      </c>
      <c r="C105" s="18" t="s">
        <v>51</v>
      </c>
      <c r="D105" s="18" t="s">
        <v>52</v>
      </c>
      <c r="E105" s="19" t="str">
        <f>IF(A105&lt;&gt;"", IF(COUNTIF(Technical_Evaluations!C:C, A105), "Present", "Absent"), "")</f>
        <v>Absent</v>
      </c>
      <c r="F105" s="19" t="str">
        <f>IF(A105&lt;&gt;"", IF(COUNTIF(Technical_Evaluations!C:C, A105), "Present", "Absent"), "")
</f>
        <v>Absent</v>
      </c>
      <c r="G105" s="20" t="str">
        <f>IFERROR(VLOOKUP(A105, SoftSkills_Evaluations!C:L, 8, FALSE), "")</f>
        <v/>
      </c>
      <c r="H105" s="20" t="str">
        <f>IFERROR(VLOOKUP(A105, Technical_Evaluations!C:L, 7, FALSE), "")
</f>
        <v/>
      </c>
      <c r="I105" s="20" t="str">
        <f>IFERROR(VLOOKUP(A105, 'GD Evaluations'!A:G, 7, FALSE), "")</f>
        <v/>
      </c>
      <c r="J105" s="20">
        <f t="shared" si="1"/>
        <v>0</v>
      </c>
      <c r="K105" s="20">
        <f t="shared" si="2"/>
        <v>0</v>
      </c>
    </row>
    <row r="106">
      <c r="A106" s="16" t="s">
        <v>158</v>
      </c>
      <c r="B106" s="16" t="s">
        <v>526</v>
      </c>
      <c r="C106" s="18" t="s">
        <v>38</v>
      </c>
      <c r="D106" s="18" t="s">
        <v>52</v>
      </c>
      <c r="E106" s="19" t="str">
        <f>IF(A106&lt;&gt;"", IF(COUNTIF(Technical_Evaluations!C:C, A106), "Present", "Absent"), "")</f>
        <v>Absent</v>
      </c>
      <c r="F106" s="19" t="str">
        <f>IF(A106&lt;&gt;"", IF(COUNTIF(Technical_Evaluations!C:C, A106), "Present", "Absent"), "")
</f>
        <v>Absent</v>
      </c>
      <c r="G106" s="20">
        <f>IFERROR(VLOOKUP(A106, SoftSkills_Evaluations!C:L, 8, FALSE), "")</f>
        <v>62.4</v>
      </c>
      <c r="H106" s="20" t="str">
        <f>IFERROR(VLOOKUP(A106, Technical_Evaluations!C:L, 7, FALSE), "")
</f>
        <v/>
      </c>
      <c r="I106" s="20">
        <f>IFERROR(VLOOKUP(A106, 'GD Evaluations'!A:G, 7, FALSE), "")</f>
        <v>62</v>
      </c>
      <c r="J106" s="20">
        <f t="shared" si="1"/>
        <v>41.46666667</v>
      </c>
      <c r="K106" s="20">
        <f t="shared" si="2"/>
        <v>62.2</v>
      </c>
    </row>
    <row r="107">
      <c r="A107" s="16" t="s">
        <v>107</v>
      </c>
      <c r="B107" s="16" t="s">
        <v>536</v>
      </c>
      <c r="C107" s="18" t="s">
        <v>38</v>
      </c>
      <c r="D107" s="18" t="s">
        <v>39</v>
      </c>
      <c r="E107" s="19" t="str">
        <f>IF(A107&lt;&gt;"", IF(COUNTIF(Technical_Evaluations!C:C, A107), "Present", "Absent"), "")</f>
        <v>Present</v>
      </c>
      <c r="F107" s="19" t="str">
        <f>IF(A107&lt;&gt;"", IF(COUNTIF(Technical_Evaluations!C:C, A107), "Present", "Absent"), "")
</f>
        <v>Present</v>
      </c>
      <c r="G107" s="20">
        <f>IFERROR(VLOOKUP(A107, SoftSkills_Evaluations!C:L, 8, FALSE), "")</f>
        <v>43.8</v>
      </c>
      <c r="H107" s="20">
        <f>IFERROR(VLOOKUP(A107, Technical_Evaluations!C:L, 7, FALSE), "")
</f>
        <v>78.4</v>
      </c>
      <c r="I107" s="20" t="str">
        <f>IFERROR(VLOOKUP(A107, 'GD Evaluations'!A:G, 7, FALSE), "")</f>
        <v/>
      </c>
      <c r="J107" s="20">
        <f t="shared" si="1"/>
        <v>40.73333333</v>
      </c>
      <c r="K107" s="20">
        <f t="shared" si="2"/>
        <v>21.9</v>
      </c>
    </row>
    <row r="108">
      <c r="A108" s="18" t="s">
        <v>98</v>
      </c>
      <c r="B108" s="18" t="s">
        <v>550</v>
      </c>
      <c r="C108" s="18" t="s">
        <v>88</v>
      </c>
      <c r="D108" s="18" t="s">
        <v>39</v>
      </c>
      <c r="E108" s="19" t="str">
        <f>IF(A108&lt;&gt;"", IF(COUNTIF(Technical_Evaluations!C:C, A108), "Present", "Absent"), "")</f>
        <v>Present</v>
      </c>
      <c r="F108" s="19" t="str">
        <f>IF(A108&lt;&gt;"", IF(COUNTIF(Technical_Evaluations!C:C, A108), "Present", "Absent"), "")
</f>
        <v>Present</v>
      </c>
      <c r="G108" s="20">
        <f>IFERROR(VLOOKUP(A108, SoftSkills_Evaluations!C:L, 8, FALSE), "")</f>
        <v>56</v>
      </c>
      <c r="H108" s="20">
        <f>IFERROR(VLOOKUP(A108, Technical_Evaluations!C:L, 7, FALSE), "")
</f>
        <v>60</v>
      </c>
      <c r="I108" s="20">
        <f>IFERROR(VLOOKUP(A108, 'GD Evaluations'!A:G, 7, FALSE), "")</f>
        <v>52</v>
      </c>
      <c r="J108" s="20">
        <f t="shared" si="1"/>
        <v>56</v>
      </c>
      <c r="K108" s="20">
        <f t="shared" si="2"/>
        <v>54</v>
      </c>
    </row>
    <row r="109">
      <c r="A109" s="16" t="s">
        <v>653</v>
      </c>
      <c r="B109" s="16" t="s">
        <v>654</v>
      </c>
      <c r="C109" s="18" t="s">
        <v>51</v>
      </c>
      <c r="D109" s="18" t="s">
        <v>39</v>
      </c>
      <c r="E109" s="19" t="str">
        <f>IF(A109&lt;&gt;"", IF(COUNTIF(Technical_Evaluations!C:C, A109), "Present", "Absent"), "")</f>
        <v>Absent</v>
      </c>
      <c r="F109" s="19" t="str">
        <f>IF(A109&lt;&gt;"", IF(COUNTIF(Technical_Evaluations!C:C, A109), "Present", "Absent"), "")
</f>
        <v>Absent</v>
      </c>
      <c r="G109" s="20" t="str">
        <f>IFERROR(VLOOKUP(A109, SoftSkills_Evaluations!C:L, 8, FALSE), "")</f>
        <v/>
      </c>
      <c r="H109" s="20" t="str">
        <f>IFERROR(VLOOKUP(A109, Technical_Evaluations!C:L, 7, FALSE), "")
</f>
        <v/>
      </c>
      <c r="I109" s="20" t="str">
        <f>IFERROR(VLOOKUP(A109, 'GD Evaluations'!A:G, 7, FALSE), "")</f>
        <v/>
      </c>
      <c r="J109" s="20">
        <f t="shared" si="1"/>
        <v>0</v>
      </c>
      <c r="K109" s="20">
        <f t="shared" si="2"/>
        <v>0</v>
      </c>
    </row>
    <row r="110">
      <c r="A110" s="16" t="s">
        <v>655</v>
      </c>
      <c r="B110" s="16" t="s">
        <v>656</v>
      </c>
      <c r="C110" s="18" t="s">
        <v>53</v>
      </c>
      <c r="D110" s="18" t="s">
        <v>52</v>
      </c>
      <c r="E110" s="19" t="str">
        <f>IF(A110&lt;&gt;"", IF(COUNTIF(Technical_Evaluations!C:C, A110), "Present", "Absent"), "")</f>
        <v>Absent</v>
      </c>
      <c r="F110" s="19" t="str">
        <f>IF(A110&lt;&gt;"", IF(COUNTIF(Technical_Evaluations!C:C, A110), "Present", "Absent"), "")
</f>
        <v>Absent</v>
      </c>
      <c r="G110" s="20" t="str">
        <f>IFERROR(VLOOKUP(A110, SoftSkills_Evaluations!C:L, 8, FALSE), "")</f>
        <v/>
      </c>
      <c r="H110" s="20" t="str">
        <f>IFERROR(VLOOKUP(A110, Technical_Evaluations!C:L, 7, FALSE), "")
</f>
        <v/>
      </c>
      <c r="I110" s="20" t="str">
        <f>IFERROR(VLOOKUP(A110, 'GD Evaluations'!A:G, 7, FALSE), "")</f>
        <v/>
      </c>
      <c r="J110" s="20">
        <f t="shared" si="1"/>
        <v>0</v>
      </c>
      <c r="K110" s="20">
        <f t="shared" si="2"/>
        <v>0</v>
      </c>
    </row>
    <row r="111">
      <c r="A111" s="18" t="s">
        <v>195</v>
      </c>
      <c r="B111" s="18" t="s">
        <v>498</v>
      </c>
      <c r="C111" s="18" t="s">
        <v>88</v>
      </c>
      <c r="D111" s="18" t="s">
        <v>52</v>
      </c>
      <c r="E111" s="19" t="str">
        <f>IF(A111&lt;&gt;"", IF(COUNTIF(Technical_Evaluations!C:C, A111), "Present", "Absent"), "")</f>
        <v>Present</v>
      </c>
      <c r="F111" s="19" t="str">
        <f>IF(A111&lt;&gt;"", IF(COUNTIF(Technical_Evaluations!C:C, A111), "Present", "Absent"), "")
</f>
        <v>Present</v>
      </c>
      <c r="G111" s="20">
        <f>IFERROR(VLOOKUP(A111, SoftSkills_Evaluations!C:L, 8, FALSE), "")</f>
        <v>70.4</v>
      </c>
      <c r="H111" s="20">
        <f>IFERROR(VLOOKUP(A111, Technical_Evaluations!C:L, 7, FALSE), "")
</f>
        <v>80.6</v>
      </c>
      <c r="I111" s="20">
        <f>IFERROR(VLOOKUP(A111, 'GD Evaluations'!A:G, 7, FALSE), "")</f>
        <v>59</v>
      </c>
      <c r="J111" s="20">
        <f t="shared" si="1"/>
        <v>70</v>
      </c>
      <c r="K111" s="20">
        <f t="shared" si="2"/>
        <v>64.7</v>
      </c>
    </row>
    <row r="112">
      <c r="A112" s="18" t="s">
        <v>225</v>
      </c>
      <c r="B112" s="18" t="s">
        <v>493</v>
      </c>
      <c r="C112" s="18" t="s">
        <v>88</v>
      </c>
      <c r="D112" s="18" t="s">
        <v>52</v>
      </c>
      <c r="E112" s="19" t="str">
        <f>IF(A112&lt;&gt;"", IF(COUNTIF(Technical_Evaluations!C:C, A112), "Present", "Absent"), "")</f>
        <v>Present</v>
      </c>
      <c r="F112" s="19" t="str">
        <f>IF(A112&lt;&gt;"", IF(COUNTIF(Technical_Evaluations!C:C, A112), "Present", "Absent"), "")
</f>
        <v>Present</v>
      </c>
      <c r="G112" s="20">
        <f>IFERROR(VLOOKUP(A112, SoftSkills_Evaluations!C:L, 8, FALSE), "")</f>
        <v>75.6</v>
      </c>
      <c r="H112" s="20">
        <f>IFERROR(VLOOKUP(A112, Technical_Evaluations!C:L, 7, FALSE), "")
</f>
        <v>69</v>
      </c>
      <c r="I112" s="20">
        <f>IFERROR(VLOOKUP(A112, 'GD Evaluations'!A:G, 7, FALSE), "")</f>
        <v>76</v>
      </c>
      <c r="J112" s="20">
        <f t="shared" si="1"/>
        <v>73.53333333</v>
      </c>
      <c r="K112" s="20">
        <f t="shared" si="2"/>
        <v>75.8</v>
      </c>
    </row>
    <row r="113">
      <c r="A113" s="16" t="s">
        <v>657</v>
      </c>
      <c r="B113" s="16" t="s">
        <v>658</v>
      </c>
      <c r="C113" s="18" t="s">
        <v>51</v>
      </c>
      <c r="D113" s="18" t="s">
        <v>39</v>
      </c>
      <c r="E113" s="19" t="str">
        <f>IF(A113&lt;&gt;"", IF(COUNTIF(Technical_Evaluations!C:C, A113), "Present", "Absent"), "")</f>
        <v>Absent</v>
      </c>
      <c r="F113" s="19" t="str">
        <f>IF(A113&lt;&gt;"", IF(COUNTIF(Technical_Evaluations!C:C, A113), "Present", "Absent"), "")
</f>
        <v>Absent</v>
      </c>
      <c r="G113" s="20" t="str">
        <f>IFERROR(VLOOKUP(A113, SoftSkills_Evaluations!C:L, 8, FALSE), "")</f>
        <v/>
      </c>
      <c r="H113" s="20" t="str">
        <f>IFERROR(VLOOKUP(A113, Technical_Evaluations!C:L, 7, FALSE), "")
</f>
        <v/>
      </c>
      <c r="I113" s="20" t="str">
        <f>IFERROR(VLOOKUP(A113, 'GD Evaluations'!A:G, 7, FALSE), "")</f>
        <v/>
      </c>
      <c r="J113" s="20">
        <f t="shared" si="1"/>
        <v>0</v>
      </c>
      <c r="K113" s="20">
        <f t="shared" si="2"/>
        <v>0</v>
      </c>
    </row>
    <row r="114">
      <c r="A114" s="16" t="s">
        <v>659</v>
      </c>
      <c r="B114" s="16" t="s">
        <v>660</v>
      </c>
      <c r="C114" s="18" t="s">
        <v>51</v>
      </c>
      <c r="D114" s="18" t="s">
        <v>52</v>
      </c>
      <c r="E114" s="19" t="str">
        <f>IF(A114&lt;&gt;"", IF(COUNTIF(Technical_Evaluations!C:C, A114), "Present", "Absent"), "")</f>
        <v>Absent</v>
      </c>
      <c r="F114" s="19" t="str">
        <f>IF(A114&lt;&gt;"", IF(COUNTIF(Technical_Evaluations!C:C, A114), "Present", "Absent"), "")
</f>
        <v>Absent</v>
      </c>
      <c r="G114" s="20" t="str">
        <f>IFERROR(VLOOKUP(A114, SoftSkills_Evaluations!C:L, 8, FALSE), "")</f>
        <v/>
      </c>
      <c r="H114" s="20" t="str">
        <f>IFERROR(VLOOKUP(A114, Technical_Evaluations!C:L, 7, FALSE), "")
</f>
        <v/>
      </c>
      <c r="I114" s="20" t="str">
        <f>IFERROR(VLOOKUP(A114, 'GD Evaluations'!A:G, 7, FALSE), "")</f>
        <v/>
      </c>
      <c r="J114" s="20">
        <f t="shared" si="1"/>
        <v>0</v>
      </c>
      <c r="K114" s="20">
        <f t="shared" si="2"/>
        <v>0</v>
      </c>
    </row>
    <row r="115">
      <c r="A115" s="16" t="s">
        <v>206</v>
      </c>
      <c r="B115" s="16" t="s">
        <v>506</v>
      </c>
      <c r="C115" s="18" t="s">
        <v>38</v>
      </c>
      <c r="D115" s="18" t="s">
        <v>52</v>
      </c>
      <c r="E115" s="19" t="str">
        <f>IF(A115&lt;&gt;"", IF(COUNTIF(Technical_Evaluations!C:C, A115), "Present", "Absent"), "")</f>
        <v>Present</v>
      </c>
      <c r="F115" s="19" t="str">
        <f>IF(A115&lt;&gt;"", IF(COUNTIF(Technical_Evaluations!C:C, A115), "Present", "Absent"), "")
</f>
        <v>Present</v>
      </c>
      <c r="G115" s="20">
        <f>IFERROR(VLOOKUP(A115, SoftSkills_Evaluations!C:L, 8, FALSE), "")</f>
        <v>67.4</v>
      </c>
      <c r="H115" s="20">
        <f>IFERROR(VLOOKUP(A115, Technical_Evaluations!C:L, 7, FALSE), "")
</f>
        <v>74.2</v>
      </c>
      <c r="I115" s="20">
        <f>IFERROR(VLOOKUP(A115, 'GD Evaluations'!A:G, 7, FALSE), "")</f>
        <v>50</v>
      </c>
      <c r="J115" s="20">
        <f t="shared" si="1"/>
        <v>63.86666667</v>
      </c>
      <c r="K115" s="20">
        <f t="shared" si="2"/>
        <v>58.7</v>
      </c>
    </row>
    <row r="116">
      <c r="A116" s="16" t="s">
        <v>661</v>
      </c>
      <c r="B116" s="16" t="s">
        <v>662</v>
      </c>
      <c r="C116" s="18" t="s">
        <v>51</v>
      </c>
      <c r="D116" s="18" t="s">
        <v>52</v>
      </c>
      <c r="E116" s="19" t="str">
        <f>IF(A116&lt;&gt;"", IF(COUNTIF(Technical_Evaluations!C:C, A116), "Present", "Absent"), "")</f>
        <v>Absent</v>
      </c>
      <c r="F116" s="19" t="str">
        <f>IF(A116&lt;&gt;"", IF(COUNTIF(Technical_Evaluations!C:C, A116), "Present", "Absent"), "")
</f>
        <v>Absent</v>
      </c>
      <c r="G116" s="20" t="str">
        <f>IFERROR(VLOOKUP(A116, SoftSkills_Evaluations!C:L, 8, FALSE), "")</f>
        <v/>
      </c>
      <c r="H116" s="20" t="str">
        <f>IFERROR(VLOOKUP(A116, Technical_Evaluations!C:L, 7, FALSE), "")
</f>
        <v/>
      </c>
      <c r="I116" s="20" t="str">
        <f>IFERROR(VLOOKUP(A116, 'GD Evaluations'!A:G, 7, FALSE), "")</f>
        <v/>
      </c>
      <c r="J116" s="20">
        <f t="shared" si="1"/>
        <v>0</v>
      </c>
      <c r="K116" s="20">
        <f t="shared" si="2"/>
        <v>0</v>
      </c>
    </row>
    <row r="117">
      <c r="A117" s="16" t="s">
        <v>663</v>
      </c>
      <c r="B117" s="16" t="s">
        <v>664</v>
      </c>
      <c r="C117" s="18" t="s">
        <v>38</v>
      </c>
      <c r="D117" s="18" t="s">
        <v>39</v>
      </c>
      <c r="E117" s="19" t="str">
        <f>IF(A117&lt;&gt;"", IF(COUNTIF(Technical_Evaluations!C:C, A117), "Present", "Absent"), "")</f>
        <v>Absent</v>
      </c>
      <c r="F117" s="19" t="str">
        <f>IF(A117&lt;&gt;"", IF(COUNTIF(Technical_Evaluations!C:C, A117), "Present", "Absent"), "")
</f>
        <v>Absent</v>
      </c>
      <c r="G117" s="20" t="str">
        <f>IFERROR(VLOOKUP(A117, SoftSkills_Evaluations!C:L, 8, FALSE), "")</f>
        <v/>
      </c>
      <c r="H117" s="20" t="str">
        <f>IFERROR(VLOOKUP(A117, Technical_Evaluations!C:L, 7, FALSE), "")
</f>
        <v/>
      </c>
      <c r="I117" s="20" t="str">
        <f>IFERROR(VLOOKUP(A117, 'GD Evaluations'!A:G, 7, FALSE), "")</f>
        <v/>
      </c>
      <c r="J117" s="20">
        <f t="shared" si="1"/>
        <v>0</v>
      </c>
      <c r="K117" s="20">
        <f t="shared" si="2"/>
        <v>0</v>
      </c>
    </row>
    <row r="118">
      <c r="A118" s="16" t="s">
        <v>665</v>
      </c>
      <c r="B118" s="16" t="s">
        <v>666</v>
      </c>
      <c r="C118" s="18" t="s">
        <v>53</v>
      </c>
      <c r="D118" s="18" t="s">
        <v>59</v>
      </c>
      <c r="E118" s="19" t="str">
        <f>IF(A118&lt;&gt;"", IF(COUNTIF(Technical_Evaluations!C:C, A118), "Present", "Absent"), "")</f>
        <v>Absent</v>
      </c>
      <c r="F118" s="19" t="str">
        <f>IF(A118&lt;&gt;"", IF(COUNTIF(Technical_Evaluations!C:C, A118), "Present", "Absent"), "")
</f>
        <v>Absent</v>
      </c>
      <c r="G118" s="20" t="str">
        <f>IFERROR(VLOOKUP(A118, SoftSkills_Evaluations!C:L, 8, FALSE), "")</f>
        <v/>
      </c>
      <c r="H118" s="20" t="str">
        <f>IFERROR(VLOOKUP(A118, Technical_Evaluations!C:L, 7, FALSE), "")
</f>
        <v/>
      </c>
      <c r="I118" s="20" t="str">
        <f>IFERROR(VLOOKUP(A118, 'GD Evaluations'!A:G, 7, FALSE), "")</f>
        <v/>
      </c>
      <c r="J118" s="20">
        <f t="shared" si="1"/>
        <v>0</v>
      </c>
      <c r="K118" s="20">
        <f t="shared" si="2"/>
        <v>0</v>
      </c>
    </row>
    <row r="119">
      <c r="A119" s="16" t="s">
        <v>667</v>
      </c>
      <c r="B119" s="16" t="s">
        <v>668</v>
      </c>
      <c r="C119" s="18" t="s">
        <v>38</v>
      </c>
      <c r="D119" s="18" t="s">
        <v>39</v>
      </c>
      <c r="E119" s="19" t="str">
        <f>IF(A119&lt;&gt;"", IF(COUNTIF(Technical_Evaluations!C:C, A119), "Present", "Absent"), "")</f>
        <v>Absent</v>
      </c>
      <c r="F119" s="19" t="str">
        <f>IF(A119&lt;&gt;"", IF(COUNTIF(Technical_Evaluations!C:C, A119), "Present", "Absent"), "")
</f>
        <v>Absent</v>
      </c>
      <c r="G119" s="20" t="str">
        <f>IFERROR(VLOOKUP(A119, SoftSkills_Evaluations!C:L, 8, FALSE), "")</f>
        <v/>
      </c>
      <c r="H119" s="20" t="str">
        <f>IFERROR(VLOOKUP(A119, Technical_Evaluations!C:L, 7, FALSE), "")
</f>
        <v/>
      </c>
      <c r="I119" s="20" t="str">
        <f>IFERROR(VLOOKUP(A119, 'GD Evaluations'!A:G, 7, FALSE), "")</f>
        <v/>
      </c>
      <c r="J119" s="20">
        <f t="shared" si="1"/>
        <v>0</v>
      </c>
      <c r="K119" s="20">
        <f t="shared" si="2"/>
        <v>0</v>
      </c>
    </row>
    <row r="120">
      <c r="A120" s="16" t="s">
        <v>669</v>
      </c>
      <c r="B120" s="16" t="s">
        <v>670</v>
      </c>
      <c r="C120" s="18" t="s">
        <v>51</v>
      </c>
      <c r="D120" s="18" t="s">
        <v>39</v>
      </c>
      <c r="E120" s="19" t="str">
        <f>IF(A120&lt;&gt;"", IF(COUNTIF(Technical_Evaluations!C:C, A120), "Present", "Absent"), "")</f>
        <v>Absent</v>
      </c>
      <c r="F120" s="19" t="str">
        <f>IF(A120&lt;&gt;"", IF(COUNTIF(Technical_Evaluations!C:C, A120), "Present", "Absent"), "")
</f>
        <v>Absent</v>
      </c>
      <c r="G120" s="20" t="str">
        <f>IFERROR(VLOOKUP(A120, SoftSkills_Evaluations!C:L, 8, FALSE), "")</f>
        <v/>
      </c>
      <c r="H120" s="20" t="str">
        <f>IFERROR(VLOOKUP(A120, Technical_Evaluations!C:L, 7, FALSE), "")
</f>
        <v/>
      </c>
      <c r="I120" s="20" t="str">
        <f>IFERROR(VLOOKUP(A120, 'GD Evaluations'!A:G, 7, FALSE), "")</f>
        <v/>
      </c>
      <c r="J120" s="20">
        <f t="shared" si="1"/>
        <v>0</v>
      </c>
      <c r="K120" s="20">
        <f t="shared" si="2"/>
        <v>0</v>
      </c>
    </row>
    <row r="121">
      <c r="A121" s="16" t="s">
        <v>671</v>
      </c>
      <c r="B121" s="16" t="s">
        <v>672</v>
      </c>
      <c r="C121" s="18" t="s">
        <v>38</v>
      </c>
      <c r="D121" s="18" t="s">
        <v>52</v>
      </c>
      <c r="E121" s="19" t="str">
        <f>IF(A121&lt;&gt;"", IF(COUNTIF(Technical_Evaluations!C:C, A121), "Present", "Absent"), "")</f>
        <v>Absent</v>
      </c>
      <c r="F121" s="19" t="str">
        <f>IF(A121&lt;&gt;"", IF(COUNTIF(Technical_Evaluations!C:C, A121), "Present", "Absent"), "")
</f>
        <v>Absent</v>
      </c>
      <c r="G121" s="20" t="str">
        <f>IFERROR(VLOOKUP(A121, SoftSkills_Evaluations!C:L, 8, FALSE), "")</f>
        <v/>
      </c>
      <c r="H121" s="20" t="str">
        <f>IFERROR(VLOOKUP(A121, Technical_Evaluations!C:L, 7, FALSE), "")
</f>
        <v/>
      </c>
      <c r="I121" s="20" t="str">
        <f>IFERROR(VLOOKUP(A121, 'GD Evaluations'!A:G, 7, FALSE), "")</f>
        <v/>
      </c>
      <c r="J121" s="20">
        <f t="shared" si="1"/>
        <v>0</v>
      </c>
      <c r="K121" s="20">
        <f t="shared" si="2"/>
        <v>0</v>
      </c>
    </row>
    <row r="122">
      <c r="A122" s="16" t="s">
        <v>78</v>
      </c>
      <c r="B122" s="16" t="s">
        <v>571</v>
      </c>
      <c r="C122" s="18" t="s">
        <v>38</v>
      </c>
      <c r="D122" s="18" t="s">
        <v>39</v>
      </c>
      <c r="E122" s="19" t="str">
        <f>IF(A122&lt;&gt;"", IF(COUNTIF(Technical_Evaluations!C:C, A122), "Present", "Absent"), "")</f>
        <v>Present</v>
      </c>
      <c r="F122" s="19" t="str">
        <f>IF(A122&lt;&gt;"", IF(COUNTIF(Technical_Evaluations!C:C, A122), "Present", "Absent"), "")
</f>
        <v>Present</v>
      </c>
      <c r="G122" s="20">
        <f>IFERROR(VLOOKUP(A122, SoftSkills_Evaluations!C:L, 8, FALSE), "")</f>
        <v>44.6</v>
      </c>
      <c r="H122" s="20">
        <f>IFERROR(VLOOKUP(A122, Technical_Evaluations!C:L, 7, FALSE), "")
</f>
        <v>48.6</v>
      </c>
      <c r="I122" s="20">
        <f>IFERROR(VLOOKUP(A122, 'GD Evaluations'!A:G, 7, FALSE), "")</f>
        <v>48</v>
      </c>
      <c r="J122" s="20">
        <f t="shared" si="1"/>
        <v>47.06666667</v>
      </c>
      <c r="K122" s="20">
        <f t="shared" si="2"/>
        <v>46.3</v>
      </c>
    </row>
    <row r="123">
      <c r="A123" s="16" t="s">
        <v>632</v>
      </c>
      <c r="B123" s="16" t="s">
        <v>633</v>
      </c>
      <c r="C123" s="18" t="s">
        <v>51</v>
      </c>
      <c r="D123" s="18" t="s">
        <v>39</v>
      </c>
      <c r="E123" s="19" t="str">
        <f>IF(A123&lt;&gt;"", IF(COUNTIF(Technical_Evaluations!C:C, A123), "Present", "Absent"), "")</f>
        <v>Absent</v>
      </c>
      <c r="F123" s="19" t="str">
        <f>IF(A123&lt;&gt;"", IF(COUNTIF(Technical_Evaluations!C:C, A123), "Present", "Absent"), "")
</f>
        <v>Absent</v>
      </c>
      <c r="G123" s="20" t="str">
        <f>IFERROR(VLOOKUP(A123, SoftSkills_Evaluations!C:L, 8, FALSE), "")</f>
        <v/>
      </c>
      <c r="H123" s="20" t="str">
        <f>IFERROR(VLOOKUP(A123, Technical_Evaluations!C:L, 7, FALSE), "")
</f>
        <v/>
      </c>
      <c r="I123" s="20">
        <f>IFERROR(VLOOKUP(A123, 'GD Evaluations'!A:G, 7, FALSE), "")</f>
        <v>18</v>
      </c>
      <c r="J123" s="20">
        <f t="shared" si="1"/>
        <v>6</v>
      </c>
      <c r="K123" s="20">
        <f t="shared" si="2"/>
        <v>9</v>
      </c>
    </row>
    <row r="124">
      <c r="A124" s="16" t="s">
        <v>673</v>
      </c>
      <c r="B124" s="16" t="s">
        <v>674</v>
      </c>
      <c r="C124" s="18" t="s">
        <v>38</v>
      </c>
      <c r="D124" s="18" t="s">
        <v>52</v>
      </c>
      <c r="E124" s="19" t="str">
        <f>IF(A124&lt;&gt;"", IF(COUNTIF(Technical_Evaluations!C:C, A124), "Present", "Absent"), "")</f>
        <v>Absent</v>
      </c>
      <c r="F124" s="19" t="str">
        <f>IF(A124&lt;&gt;"", IF(COUNTIF(Technical_Evaluations!C:C, A124), "Present", "Absent"), "")
</f>
        <v>Absent</v>
      </c>
      <c r="G124" s="20" t="str">
        <f>IFERROR(VLOOKUP(A124, SoftSkills_Evaluations!C:L, 8, FALSE), "")</f>
        <v/>
      </c>
      <c r="H124" s="20" t="str">
        <f>IFERROR(VLOOKUP(A124, Technical_Evaluations!C:L, 7, FALSE), "")
</f>
        <v/>
      </c>
      <c r="I124" s="20" t="str">
        <f>IFERROR(VLOOKUP(A124, 'GD Evaluations'!A:G, 7, FALSE), "")</f>
        <v/>
      </c>
      <c r="J124" s="20">
        <f t="shared" si="1"/>
        <v>0</v>
      </c>
      <c r="K124" s="20">
        <f t="shared" si="2"/>
        <v>0</v>
      </c>
    </row>
    <row r="125">
      <c r="A125" s="16" t="s">
        <v>675</v>
      </c>
      <c r="B125" s="16" t="s">
        <v>676</v>
      </c>
      <c r="C125" s="18" t="s">
        <v>38</v>
      </c>
      <c r="D125" s="18" t="s">
        <v>39</v>
      </c>
      <c r="E125" s="19" t="str">
        <f>IF(A125&lt;&gt;"", IF(COUNTIF(Technical_Evaluations!C:C, A125), "Present", "Absent"), "")</f>
        <v>Absent</v>
      </c>
      <c r="F125" s="19" t="str">
        <f>IF(A125&lt;&gt;"", IF(COUNTIF(Technical_Evaluations!C:C, A125), "Present", "Absent"), "")
</f>
        <v>Absent</v>
      </c>
      <c r="G125" s="20" t="str">
        <f>IFERROR(VLOOKUP(A125, SoftSkills_Evaluations!C:L, 8, FALSE), "")</f>
        <v/>
      </c>
      <c r="H125" s="20" t="str">
        <f>IFERROR(VLOOKUP(A125, Technical_Evaluations!C:L, 7, FALSE), "")
</f>
        <v/>
      </c>
      <c r="I125" s="20" t="str">
        <f>IFERROR(VLOOKUP(A125, 'GD Evaluations'!A:G, 7, FALSE), "")</f>
        <v/>
      </c>
      <c r="J125" s="20">
        <f t="shared" si="1"/>
        <v>0</v>
      </c>
      <c r="K125" s="20">
        <f t="shared" si="2"/>
        <v>0</v>
      </c>
    </row>
    <row r="126">
      <c r="A126" s="16" t="s">
        <v>332</v>
      </c>
      <c r="B126" s="16" t="s">
        <v>544</v>
      </c>
      <c r="C126" s="18" t="s">
        <v>51</v>
      </c>
      <c r="D126" s="18" t="s">
        <v>39</v>
      </c>
      <c r="E126" s="19" t="str">
        <f>IF(A126&lt;&gt;"", IF(COUNTIF(Technical_Evaluations!C:C, A126), "Present", "Absent"), "")</f>
        <v>Present</v>
      </c>
      <c r="F126" s="19" t="str">
        <f>IF(A126&lt;&gt;"", IF(COUNTIF(Technical_Evaluations!C:C, A126), "Present", "Absent"), "")
</f>
        <v>Present</v>
      </c>
      <c r="G126" s="20">
        <f>IFERROR(VLOOKUP(A126, SoftSkills_Evaluations!C:L, 8, FALSE), "")</f>
        <v>49.6</v>
      </c>
      <c r="H126" s="20">
        <f>IFERROR(VLOOKUP(A126, Technical_Evaluations!C:L, 7, FALSE), "")
</f>
        <v>67</v>
      </c>
      <c r="I126" s="20" t="str">
        <f>IFERROR(VLOOKUP(A126, 'GD Evaluations'!A:G, 7, FALSE), "")</f>
        <v/>
      </c>
      <c r="J126" s="20">
        <f t="shared" si="1"/>
        <v>38.86666667</v>
      </c>
      <c r="K126" s="20">
        <f t="shared" si="2"/>
        <v>24.8</v>
      </c>
    </row>
    <row r="127">
      <c r="A127" s="16" t="s">
        <v>677</v>
      </c>
      <c r="B127" s="16" t="s">
        <v>678</v>
      </c>
      <c r="C127" s="18" t="s">
        <v>38</v>
      </c>
      <c r="D127" s="18" t="s">
        <v>59</v>
      </c>
      <c r="E127" s="19" t="str">
        <f>IF(A127&lt;&gt;"", IF(COUNTIF(Technical_Evaluations!C:C, A127), "Present", "Absent"), "")</f>
        <v>Absent</v>
      </c>
      <c r="F127" s="19" t="str">
        <f>IF(A127&lt;&gt;"", IF(COUNTIF(Technical_Evaluations!C:C, A127), "Present", "Absent"), "")
</f>
        <v>Absent</v>
      </c>
      <c r="G127" s="20" t="str">
        <f>IFERROR(VLOOKUP(A127, SoftSkills_Evaluations!C:L, 8, FALSE), "")</f>
        <v/>
      </c>
      <c r="H127" s="20" t="str">
        <f>IFERROR(VLOOKUP(A127, Technical_Evaluations!C:L, 7, FALSE), "")
</f>
        <v/>
      </c>
      <c r="I127" s="20" t="str">
        <f>IFERROR(VLOOKUP(A127, 'GD Evaluations'!A:G, 7, FALSE), "")</f>
        <v/>
      </c>
      <c r="J127" s="20">
        <f t="shared" si="1"/>
        <v>0</v>
      </c>
      <c r="K127" s="20">
        <f t="shared" si="2"/>
        <v>0</v>
      </c>
    </row>
    <row r="128">
      <c r="A128" s="16" t="s">
        <v>679</v>
      </c>
      <c r="B128" s="16" t="s">
        <v>680</v>
      </c>
      <c r="C128" s="18" t="s">
        <v>51</v>
      </c>
      <c r="D128" s="18" t="s">
        <v>52</v>
      </c>
      <c r="E128" s="19" t="str">
        <f>IF(A128&lt;&gt;"", IF(COUNTIF(Technical_Evaluations!C:C, A128), "Present", "Absent"), "")</f>
        <v>Absent</v>
      </c>
      <c r="F128" s="19" t="str">
        <f>IF(A128&lt;&gt;"", IF(COUNTIF(Technical_Evaluations!C:C, A128), "Present", "Absent"), "")
</f>
        <v>Absent</v>
      </c>
      <c r="G128" s="20" t="str">
        <f>IFERROR(VLOOKUP(A128, SoftSkills_Evaluations!C:L, 8, FALSE), "")</f>
        <v/>
      </c>
      <c r="H128" s="20" t="str">
        <f>IFERROR(VLOOKUP(A128, Technical_Evaluations!C:L, 7, FALSE), "")
</f>
        <v/>
      </c>
      <c r="I128" s="20" t="str">
        <f>IFERROR(VLOOKUP(A128, 'GD Evaluations'!A:G, 7, FALSE), "")</f>
        <v/>
      </c>
      <c r="J128" s="20">
        <f t="shared" si="1"/>
        <v>0</v>
      </c>
      <c r="K128" s="20">
        <f t="shared" si="2"/>
        <v>0</v>
      </c>
    </row>
    <row r="129">
      <c r="A129" s="16" t="s">
        <v>320</v>
      </c>
      <c r="B129" s="16" t="s">
        <v>596</v>
      </c>
      <c r="C129" s="18" t="s">
        <v>38</v>
      </c>
      <c r="D129" s="18" t="s">
        <v>39</v>
      </c>
      <c r="E129" s="19" t="str">
        <f>IF(A129&lt;&gt;"", IF(COUNTIF(Technical_Evaluations!C:C, A129), "Present", "Absent"), "")</f>
        <v>Absent</v>
      </c>
      <c r="F129" s="19" t="str">
        <f>IF(A129&lt;&gt;"", IF(COUNTIF(Technical_Evaluations!C:C, A129), "Present", "Absent"), "")
</f>
        <v>Absent</v>
      </c>
      <c r="G129" s="20" t="str">
        <f>IFERROR(VLOOKUP(A129, SoftSkills_Evaluations!C:L, 8, FALSE), "")</f>
        <v/>
      </c>
      <c r="H129" s="20" t="str">
        <f>IFERROR(VLOOKUP(A129, Technical_Evaluations!C:L, 7, FALSE), "")
</f>
        <v/>
      </c>
      <c r="I129" s="20">
        <f>IFERROR(VLOOKUP(A129, 'GD Evaluations'!A:G, 7, FALSE), "")</f>
        <v>67</v>
      </c>
      <c r="J129" s="20">
        <f t="shared" si="1"/>
        <v>22.33333333</v>
      </c>
      <c r="K129" s="20">
        <f t="shared" si="2"/>
        <v>33.5</v>
      </c>
    </row>
    <row r="130">
      <c r="A130" s="16" t="s">
        <v>681</v>
      </c>
      <c r="B130" s="16" t="s">
        <v>682</v>
      </c>
      <c r="C130" s="18" t="s">
        <v>38</v>
      </c>
      <c r="D130" s="18" t="s">
        <v>59</v>
      </c>
      <c r="E130" s="19" t="str">
        <f>IF(A130&lt;&gt;"", IF(COUNTIF(Technical_Evaluations!C:C, A130), "Present", "Absent"), "")</f>
        <v>Absent</v>
      </c>
      <c r="F130" s="19" t="str">
        <f>IF(A130&lt;&gt;"", IF(COUNTIF(Technical_Evaluations!C:C, A130), "Present", "Absent"), "")
</f>
        <v>Absent</v>
      </c>
      <c r="G130" s="20" t="str">
        <f>IFERROR(VLOOKUP(A130, SoftSkills_Evaluations!C:L, 8, FALSE), "")</f>
        <v/>
      </c>
      <c r="H130" s="20" t="str">
        <f>IFERROR(VLOOKUP(A130, Technical_Evaluations!C:L, 7, FALSE), "")
</f>
        <v/>
      </c>
      <c r="I130" s="20" t="str">
        <f>IFERROR(VLOOKUP(A130, 'GD Evaluations'!A:G, 7, FALSE), "")</f>
        <v/>
      </c>
      <c r="J130" s="20">
        <f t="shared" si="1"/>
        <v>0</v>
      </c>
      <c r="K130" s="20">
        <f t="shared" si="2"/>
        <v>0</v>
      </c>
    </row>
    <row r="131">
      <c r="A131" s="16" t="s">
        <v>81</v>
      </c>
      <c r="B131" s="16" t="s">
        <v>495</v>
      </c>
      <c r="C131" s="18" t="s">
        <v>38</v>
      </c>
      <c r="D131" s="18" t="s">
        <v>39</v>
      </c>
      <c r="E131" s="19" t="str">
        <f>IF(A131&lt;&gt;"", IF(COUNTIF(Technical_Evaluations!C:C, A131), "Present", "Absent"), "")</f>
        <v>Present</v>
      </c>
      <c r="F131" s="19" t="str">
        <f>IF(A131&lt;&gt;"", IF(COUNTIF(Technical_Evaluations!C:C, A131), "Present", "Absent"), "")
</f>
        <v>Present</v>
      </c>
      <c r="G131" s="20" t="str">
        <f>IFERROR(VLOOKUP(A131, SoftSkills_Evaluations!C:L, 8, FALSE), "")</f>
        <v/>
      </c>
      <c r="H131" s="20">
        <f>IFERROR(VLOOKUP(A131, Technical_Evaluations!C:L, 7, FALSE), "")
</f>
        <v>89.4</v>
      </c>
      <c r="I131" s="20">
        <f>IFERROR(VLOOKUP(A131, 'GD Evaluations'!A:G, 7, FALSE), "")</f>
        <v>71</v>
      </c>
      <c r="J131" s="20">
        <f t="shared" si="1"/>
        <v>53.46666667</v>
      </c>
      <c r="K131" s="20">
        <f t="shared" si="2"/>
        <v>35.5</v>
      </c>
    </row>
    <row r="132">
      <c r="A132" s="16" t="s">
        <v>48</v>
      </c>
      <c r="B132" s="16" t="s">
        <v>491</v>
      </c>
      <c r="C132" s="18" t="s">
        <v>51</v>
      </c>
      <c r="D132" s="18" t="s">
        <v>39</v>
      </c>
      <c r="E132" s="19" t="str">
        <f>IF(A132&lt;&gt;"", IF(COUNTIF(Technical_Evaluations!C:C, A132), "Present", "Absent"), "")</f>
        <v>Present</v>
      </c>
      <c r="F132" s="19" t="str">
        <f>IF(A132&lt;&gt;"", IF(COUNTIF(Technical_Evaluations!C:C, A132), "Present", "Absent"), "")
</f>
        <v>Present</v>
      </c>
      <c r="G132" s="20">
        <f>IFERROR(VLOOKUP(A132, SoftSkills_Evaluations!C:L, 8, FALSE), "")</f>
        <v>77.6</v>
      </c>
      <c r="H132" s="20">
        <f>IFERROR(VLOOKUP(A132, Technical_Evaluations!C:L, 7, FALSE), "")
</f>
        <v>97</v>
      </c>
      <c r="I132" s="20">
        <f>IFERROR(VLOOKUP(A132, 'GD Evaluations'!A:G, 7, FALSE), "")</f>
        <v>51</v>
      </c>
      <c r="J132" s="20">
        <f t="shared" si="1"/>
        <v>75.2</v>
      </c>
      <c r="K132" s="20">
        <f t="shared" si="2"/>
        <v>64.3</v>
      </c>
    </row>
    <row r="133">
      <c r="A133" s="16" t="s">
        <v>169</v>
      </c>
      <c r="B133" s="67" t="s">
        <v>683</v>
      </c>
      <c r="C133" s="18" t="s">
        <v>38</v>
      </c>
      <c r="D133" s="18" t="s">
        <v>52</v>
      </c>
      <c r="E133" s="19" t="str">
        <f>IF(A133&lt;&gt;"", IF(COUNTIF(Technical_Evaluations!C:C, A133), "Present", "Absent"), "")</f>
        <v>Present</v>
      </c>
      <c r="F133" s="19" t="str">
        <f>IF(A133&lt;&gt;"", IF(COUNTIF(Technical_Evaluations!C:C, A133), "Present", "Absent"), "")
</f>
        <v>Present</v>
      </c>
      <c r="G133" s="20">
        <f>IFERROR(VLOOKUP(A133, SoftSkills_Evaluations!C:L, 8, FALSE), "")</f>
        <v>62.6</v>
      </c>
      <c r="H133" s="20">
        <f>IFERROR(VLOOKUP(A133, Technical_Evaluations!C:L, 7, FALSE), "")
</f>
        <v>76.6</v>
      </c>
      <c r="I133" s="20">
        <f>IFERROR(VLOOKUP(A133, 'GD Evaluations'!A:G, 7, FALSE), "")</f>
        <v>93</v>
      </c>
      <c r="J133" s="20">
        <f t="shared" si="1"/>
        <v>77.4</v>
      </c>
      <c r="K133" s="20">
        <f t="shared" si="2"/>
        <v>77.8</v>
      </c>
    </row>
    <row r="134">
      <c r="A134" s="16" t="s">
        <v>328</v>
      </c>
      <c r="B134" s="16" t="s">
        <v>562</v>
      </c>
      <c r="C134" s="18" t="s">
        <v>38</v>
      </c>
      <c r="D134" s="18" t="s">
        <v>52</v>
      </c>
      <c r="E134" s="19" t="str">
        <f>IF(A134&lt;&gt;"", IF(COUNTIF(Technical_Evaluations!C:C, A134), "Present", "Absent"), "")</f>
        <v>Absent</v>
      </c>
      <c r="F134" s="19" t="str">
        <f>IF(A134&lt;&gt;"", IF(COUNTIF(Technical_Evaluations!C:C, A134), "Present", "Absent"), "")
</f>
        <v>Absent</v>
      </c>
      <c r="G134" s="20">
        <f>IFERROR(VLOOKUP(A134, SoftSkills_Evaluations!C:L, 8, FALSE), "")</f>
        <v>55.2</v>
      </c>
      <c r="H134" s="20" t="str">
        <f>IFERROR(VLOOKUP(A134, Technical_Evaluations!C:L, 7, FALSE), "")
</f>
        <v/>
      </c>
      <c r="I134" s="20">
        <f>IFERROR(VLOOKUP(A134, 'GD Evaluations'!A:G, 7, FALSE), "")</f>
        <v>53</v>
      </c>
      <c r="J134" s="20">
        <f t="shared" si="1"/>
        <v>36.06666667</v>
      </c>
      <c r="K134" s="20">
        <f t="shared" si="2"/>
        <v>54.1</v>
      </c>
    </row>
    <row r="135">
      <c r="A135" s="16" t="s">
        <v>684</v>
      </c>
      <c r="B135" s="16" t="s">
        <v>685</v>
      </c>
      <c r="C135" s="18" t="s">
        <v>38</v>
      </c>
      <c r="D135" s="18" t="s">
        <v>52</v>
      </c>
      <c r="E135" s="19" t="str">
        <f>IF(A135&lt;&gt;"", IF(COUNTIF(Technical_Evaluations!C:C, A135), "Present", "Absent"), "")</f>
        <v>Absent</v>
      </c>
      <c r="F135" s="19" t="str">
        <f>IF(A135&lt;&gt;"", IF(COUNTIF(Technical_Evaluations!C:C, A135), "Present", "Absent"), "")
</f>
        <v>Absent</v>
      </c>
      <c r="G135" s="20" t="str">
        <f>IFERROR(VLOOKUP(A135, SoftSkills_Evaluations!C:L, 8, FALSE), "")</f>
        <v/>
      </c>
      <c r="H135" s="20" t="str">
        <f>IFERROR(VLOOKUP(A135, Technical_Evaluations!C:L, 7, FALSE), "")
</f>
        <v/>
      </c>
      <c r="I135" s="20" t="str">
        <f>IFERROR(VLOOKUP(A135, 'GD Evaluations'!A:G, 7, FALSE), "")</f>
        <v/>
      </c>
      <c r="J135" s="20">
        <f t="shared" si="1"/>
        <v>0</v>
      </c>
      <c r="K135" s="20">
        <f t="shared" si="2"/>
        <v>0</v>
      </c>
    </row>
    <row r="136">
      <c r="A136" s="16" t="s">
        <v>85</v>
      </c>
      <c r="B136" s="16" t="s">
        <v>483</v>
      </c>
      <c r="C136" s="18" t="s">
        <v>38</v>
      </c>
      <c r="D136" s="18" t="s">
        <v>39</v>
      </c>
      <c r="E136" s="19" t="str">
        <f>IF(A136&lt;&gt;"", IF(COUNTIF(Technical_Evaluations!C:C, A136), "Present", "Absent"), "")</f>
        <v>Present</v>
      </c>
      <c r="F136" s="19" t="str">
        <f>IF(A136&lt;&gt;"", IF(COUNTIF(Technical_Evaluations!C:C, A136), "Present", "Absent"), "")
</f>
        <v>Present</v>
      </c>
      <c r="G136" s="20">
        <f>IFERROR(VLOOKUP(A136, SoftSkills_Evaluations!C:L, 8, FALSE), "")</f>
        <v>90</v>
      </c>
      <c r="H136" s="20">
        <f>IFERROR(VLOOKUP(A136, Technical_Evaluations!C:L, 7, FALSE), "")
</f>
        <v>95</v>
      </c>
      <c r="I136" s="20">
        <f>IFERROR(VLOOKUP(A136, 'GD Evaluations'!A:G, 7, FALSE), "")</f>
        <v>58</v>
      </c>
      <c r="J136" s="20">
        <f t="shared" si="1"/>
        <v>81</v>
      </c>
      <c r="K136" s="20">
        <f t="shared" si="2"/>
        <v>74</v>
      </c>
    </row>
    <row r="137">
      <c r="A137" s="16" t="s">
        <v>96</v>
      </c>
      <c r="B137" s="16" t="s">
        <v>525</v>
      </c>
      <c r="C137" s="18" t="s">
        <v>38</v>
      </c>
      <c r="D137" s="18" t="s">
        <v>39</v>
      </c>
      <c r="E137" s="19" t="str">
        <f>IF(A137&lt;&gt;"", IF(COUNTIF(Technical_Evaluations!C:C, A137), "Present", "Absent"), "")</f>
        <v>Present</v>
      </c>
      <c r="F137" s="19" t="str">
        <f>IF(A137&lt;&gt;"", IF(COUNTIF(Technical_Evaluations!C:C, A137), "Present", "Absent"), "")
</f>
        <v>Present</v>
      </c>
      <c r="G137" s="20" t="str">
        <f>IFERROR(VLOOKUP(A137, SoftSkills_Evaluations!C:L, 8, FALSE), "")</f>
        <v/>
      </c>
      <c r="H137" s="20">
        <f>IFERROR(VLOOKUP(A137, Technical_Evaluations!C:L, 7, FALSE), "")
</f>
        <v>90</v>
      </c>
      <c r="I137" s="20">
        <f>IFERROR(VLOOKUP(A137, 'GD Evaluations'!A:G, 7, FALSE), "")</f>
        <v>59</v>
      </c>
      <c r="J137" s="20">
        <f t="shared" si="1"/>
        <v>49.66666667</v>
      </c>
      <c r="K137" s="20">
        <f t="shared" si="2"/>
        <v>29.5</v>
      </c>
    </row>
    <row r="138">
      <c r="A138" s="16" t="s">
        <v>686</v>
      </c>
      <c r="B138" s="16" t="s">
        <v>687</v>
      </c>
      <c r="C138" s="18" t="s">
        <v>51</v>
      </c>
      <c r="D138" s="18" t="s">
        <v>39</v>
      </c>
      <c r="E138" s="19" t="str">
        <f>IF(A138&lt;&gt;"", IF(COUNTIF(Technical_Evaluations!C:C, A138), "Present", "Absent"), "")</f>
        <v>Absent</v>
      </c>
      <c r="F138" s="19" t="str">
        <f>IF(A138&lt;&gt;"", IF(COUNTIF(Technical_Evaluations!C:C, A138), "Present", "Absent"), "")
</f>
        <v>Absent</v>
      </c>
      <c r="G138" s="20" t="str">
        <f>IFERROR(VLOOKUP(A138, SoftSkills_Evaluations!C:L, 8, FALSE), "")</f>
        <v/>
      </c>
      <c r="H138" s="20" t="str">
        <f>IFERROR(VLOOKUP(A138, Technical_Evaluations!C:L, 7, FALSE), "")
</f>
        <v/>
      </c>
      <c r="I138" s="20" t="str">
        <f>IFERROR(VLOOKUP(A138, 'GD Evaluations'!A:G, 7, FALSE), "")</f>
        <v/>
      </c>
      <c r="J138" s="20">
        <f t="shared" si="1"/>
        <v>0</v>
      </c>
      <c r="K138" s="20">
        <f t="shared" si="2"/>
        <v>0</v>
      </c>
    </row>
    <row r="139">
      <c r="A139" s="16" t="s">
        <v>688</v>
      </c>
      <c r="B139" s="16" t="s">
        <v>689</v>
      </c>
      <c r="C139" s="18" t="s">
        <v>51</v>
      </c>
      <c r="D139" s="18" t="s">
        <v>59</v>
      </c>
      <c r="E139" s="19" t="str">
        <f>IF(A139&lt;&gt;"", IF(COUNTIF(Technical_Evaluations!C:C, A139), "Present", "Absent"), "")</f>
        <v>Absent</v>
      </c>
      <c r="F139" s="19" t="str">
        <f>IF(A139&lt;&gt;"", IF(COUNTIF(Technical_Evaluations!C:C, A139), "Present", "Absent"), "")
</f>
        <v>Absent</v>
      </c>
      <c r="G139" s="20" t="str">
        <f>IFERROR(VLOOKUP(A139, SoftSkills_Evaluations!C:L, 8, FALSE), "")</f>
        <v/>
      </c>
      <c r="H139" s="20" t="str">
        <f>IFERROR(VLOOKUP(A139, Technical_Evaluations!C:L, 7, FALSE), "")
</f>
        <v/>
      </c>
      <c r="I139" s="20" t="str">
        <f>IFERROR(VLOOKUP(A139, 'GD Evaluations'!A:G, 7, FALSE), "")</f>
        <v/>
      </c>
      <c r="J139" s="20">
        <f t="shared" si="1"/>
        <v>0</v>
      </c>
      <c r="K139" s="20">
        <f t="shared" si="2"/>
        <v>0</v>
      </c>
    </row>
    <row r="140">
      <c r="A140" s="16" t="s">
        <v>690</v>
      </c>
      <c r="B140" s="16" t="s">
        <v>691</v>
      </c>
      <c r="C140" s="18" t="s">
        <v>51</v>
      </c>
      <c r="D140" s="18" t="s">
        <v>52</v>
      </c>
      <c r="E140" s="19" t="str">
        <f>IF(A140&lt;&gt;"", IF(COUNTIF(Technical_Evaluations!C:C, A140), "Present", "Absent"), "")</f>
        <v>Absent</v>
      </c>
      <c r="F140" s="19" t="str">
        <f>IF(A140&lt;&gt;"", IF(COUNTIF(Technical_Evaluations!C:C, A140), "Present", "Absent"), "")
</f>
        <v>Absent</v>
      </c>
      <c r="G140" s="20" t="str">
        <f>IFERROR(VLOOKUP(A140, SoftSkills_Evaluations!C:L, 8, FALSE), "")</f>
        <v/>
      </c>
      <c r="H140" s="20" t="str">
        <f>IFERROR(VLOOKUP(A140, Technical_Evaluations!C:L, 7, FALSE), "")
</f>
        <v/>
      </c>
      <c r="I140" s="20" t="str">
        <f>IFERROR(VLOOKUP(A140, 'GD Evaluations'!A:G, 7, FALSE), "")</f>
        <v/>
      </c>
      <c r="J140" s="20">
        <f t="shared" si="1"/>
        <v>0</v>
      </c>
      <c r="K140" s="20">
        <f t="shared" si="2"/>
        <v>0</v>
      </c>
    </row>
    <row r="141">
      <c r="A141" s="16" t="s">
        <v>75</v>
      </c>
      <c r="B141" s="16" t="s">
        <v>490</v>
      </c>
      <c r="C141" s="18" t="s">
        <v>51</v>
      </c>
      <c r="D141" s="18" t="s">
        <v>52</v>
      </c>
      <c r="E141" s="19" t="str">
        <f>IF(A141&lt;&gt;"", IF(COUNTIF(Technical_Evaluations!C:C, A141), "Present", "Absent"), "")</f>
        <v>Present</v>
      </c>
      <c r="F141" s="19" t="str">
        <f>IF(A141&lt;&gt;"", IF(COUNTIF(Technical_Evaluations!C:C, A141), "Present", "Absent"), "")
</f>
        <v>Present</v>
      </c>
      <c r="G141" s="20">
        <f>IFERROR(VLOOKUP(A141, SoftSkills_Evaluations!C:L, 8, FALSE), "")</f>
        <v>64.8</v>
      </c>
      <c r="H141" s="20">
        <f>IFERROR(VLOOKUP(A141, Technical_Evaluations!C:L, 7, FALSE), "")
</f>
        <v>77.2</v>
      </c>
      <c r="I141" s="20">
        <f>IFERROR(VLOOKUP(A141, 'GD Evaluations'!A:G, 7, FALSE), "")</f>
        <v>85</v>
      </c>
      <c r="J141" s="20">
        <f t="shared" si="1"/>
        <v>75.66666667</v>
      </c>
      <c r="K141" s="20">
        <f t="shared" si="2"/>
        <v>74.9</v>
      </c>
    </row>
    <row r="142">
      <c r="A142" s="16" t="s">
        <v>42</v>
      </c>
      <c r="B142" s="16" t="s">
        <v>568</v>
      </c>
      <c r="C142" s="18" t="s">
        <v>51</v>
      </c>
      <c r="D142" s="18" t="s">
        <v>39</v>
      </c>
      <c r="E142" s="19" t="str">
        <f>IF(A142&lt;&gt;"", IF(COUNTIF(Technical_Evaluations!C:C, A142), "Present", "Absent"), "")</f>
        <v>Absent</v>
      </c>
      <c r="F142" s="19" t="str">
        <f>IF(A142&lt;&gt;"", IF(COUNTIF(Technical_Evaluations!C:C, A142), "Present", "Absent"), "")
</f>
        <v>Absent</v>
      </c>
      <c r="G142" s="20" t="str">
        <f>IFERROR(VLOOKUP(A142, SoftSkills_Evaluations!C:L, 8, FALSE), "")</f>
        <v/>
      </c>
      <c r="H142" s="20" t="str">
        <f>IFERROR(VLOOKUP(A142, Technical_Evaluations!C:L, 7, FALSE), "")
</f>
        <v/>
      </c>
      <c r="I142" s="20">
        <f>IFERROR(VLOOKUP(A142, 'GD Evaluations'!A:G, 7, FALSE), "")</f>
        <v>95</v>
      </c>
      <c r="J142" s="20">
        <f t="shared" si="1"/>
        <v>31.66666667</v>
      </c>
      <c r="K142" s="20">
        <f t="shared" si="2"/>
        <v>47.5</v>
      </c>
    </row>
    <row r="143">
      <c r="A143" s="68" t="s">
        <v>202</v>
      </c>
      <c r="B143" s="68" t="s">
        <v>500</v>
      </c>
      <c r="C143" s="18" t="s">
        <v>60</v>
      </c>
      <c r="D143" s="18" t="s">
        <v>203</v>
      </c>
      <c r="E143" s="19" t="str">
        <f>IF(A143&lt;&gt;"", IF(COUNTIF(Technical_Evaluations!C:C, A143), "Present", "Absent"), "")</f>
        <v>Present</v>
      </c>
      <c r="F143" s="19" t="str">
        <f>IF(A143&lt;&gt;"", IF(COUNTIF(Technical_Evaluations!C:C, A143), "Present", "Absent"), "")
</f>
        <v>Present</v>
      </c>
      <c r="G143" s="20">
        <f>IFERROR(VLOOKUP(A143, SoftSkills_Evaluations!C:L, 8, FALSE), "")</f>
        <v>57.4</v>
      </c>
      <c r="H143" s="20">
        <f>IFERROR(VLOOKUP(A143, Technical_Evaluations!C:L, 7, FALSE), "")
</f>
        <v>74.4</v>
      </c>
      <c r="I143" s="20">
        <f>IFERROR(VLOOKUP(A143, 'GD Evaluations'!A:G, 7, FALSE), "")</f>
        <v>71</v>
      </c>
      <c r="J143" s="20">
        <f t="shared" si="1"/>
        <v>67.6</v>
      </c>
      <c r="K143" s="20">
        <f t="shared" si="2"/>
        <v>64.2</v>
      </c>
    </row>
    <row r="144">
      <c r="A144" s="16" t="s">
        <v>73</v>
      </c>
      <c r="B144" s="16" t="s">
        <v>541</v>
      </c>
      <c r="C144" s="18" t="s">
        <v>38</v>
      </c>
      <c r="D144" s="18" t="s">
        <v>39</v>
      </c>
      <c r="E144" s="19" t="str">
        <f>IF(A144&lt;&gt;"", IF(COUNTIF(Technical_Evaluations!C:C, A144), "Present", "Absent"), "")</f>
        <v>Present</v>
      </c>
      <c r="F144" s="19" t="str">
        <f>IF(A144&lt;&gt;"", IF(COUNTIF(Technical_Evaluations!C:C, A144), "Present", "Absent"), "")
</f>
        <v>Present</v>
      </c>
      <c r="G144" s="20">
        <f>IFERROR(VLOOKUP(A144, SoftSkills_Evaluations!C:L, 8, FALSE), "")</f>
        <v>46.4</v>
      </c>
      <c r="H144" s="20">
        <f>IFERROR(VLOOKUP(A144, Technical_Evaluations!C:L, 7, FALSE), "")
</f>
        <v>73.6</v>
      </c>
      <c r="I144" s="20">
        <f>IFERROR(VLOOKUP(A144, 'GD Evaluations'!A:G, 7, FALSE), "")</f>
        <v>35</v>
      </c>
      <c r="J144" s="20">
        <f t="shared" si="1"/>
        <v>51.66666667</v>
      </c>
      <c r="K144" s="20">
        <f t="shared" si="2"/>
        <v>40.7</v>
      </c>
    </row>
    <row r="145">
      <c r="A145" s="16" t="s">
        <v>692</v>
      </c>
      <c r="B145" s="16" t="s">
        <v>693</v>
      </c>
      <c r="C145" s="18" t="s">
        <v>38</v>
      </c>
      <c r="D145" s="18" t="s">
        <v>59</v>
      </c>
      <c r="E145" s="19" t="str">
        <f>IF(A145&lt;&gt;"", IF(COUNTIF(Technical_Evaluations!C:C, A145), "Present", "Absent"), "")</f>
        <v>Absent</v>
      </c>
      <c r="F145" s="19" t="str">
        <f>IF(A145&lt;&gt;"", IF(COUNTIF(Technical_Evaluations!C:C, A145), "Present", "Absent"), "")
</f>
        <v>Absent</v>
      </c>
      <c r="G145" s="20" t="str">
        <f>IFERROR(VLOOKUP(A145, SoftSkills_Evaluations!C:L, 8, FALSE), "")</f>
        <v/>
      </c>
      <c r="H145" s="20" t="str">
        <f>IFERROR(VLOOKUP(A145, Technical_Evaluations!C:L, 7, FALSE), "")
</f>
        <v/>
      </c>
      <c r="I145" s="20" t="str">
        <f>IFERROR(VLOOKUP(A145, 'GD Evaluations'!A:G, 7, FALSE), "")</f>
        <v/>
      </c>
      <c r="J145" s="20">
        <f t="shared" si="1"/>
        <v>0</v>
      </c>
      <c r="K145" s="20">
        <f t="shared" si="2"/>
        <v>0</v>
      </c>
    </row>
    <row r="146">
      <c r="A146" s="16" t="s">
        <v>694</v>
      </c>
      <c r="B146" s="16" t="s">
        <v>695</v>
      </c>
      <c r="C146" s="18" t="s">
        <v>51</v>
      </c>
      <c r="D146" s="18" t="s">
        <v>39</v>
      </c>
      <c r="E146" s="19" t="str">
        <f>IF(A146&lt;&gt;"", IF(COUNTIF(Technical_Evaluations!C:C, A146), "Present", "Absent"), "")</f>
        <v>Absent</v>
      </c>
      <c r="F146" s="19" t="str">
        <f>IF(A146&lt;&gt;"", IF(COUNTIF(Technical_Evaluations!C:C, A146), "Present", "Absent"), "")
</f>
        <v>Absent</v>
      </c>
      <c r="G146" s="20" t="str">
        <f>IFERROR(VLOOKUP(A146, SoftSkills_Evaluations!C:L, 8, FALSE), "")</f>
        <v/>
      </c>
      <c r="H146" s="20" t="str">
        <f>IFERROR(VLOOKUP(A146, Technical_Evaluations!C:L, 7, FALSE), "")
</f>
        <v/>
      </c>
      <c r="I146" s="20" t="str">
        <f>IFERROR(VLOOKUP(A146, 'GD Evaluations'!A:G, 7, FALSE), "")</f>
        <v/>
      </c>
      <c r="J146" s="20">
        <f t="shared" si="1"/>
        <v>0</v>
      </c>
      <c r="K146" s="20">
        <f t="shared" si="2"/>
        <v>0</v>
      </c>
    </row>
    <row r="147">
      <c r="A147" s="16" t="s">
        <v>696</v>
      </c>
      <c r="B147" s="16" t="s">
        <v>697</v>
      </c>
      <c r="C147" s="18" t="s">
        <v>38</v>
      </c>
      <c r="D147" s="18" t="s">
        <v>39</v>
      </c>
      <c r="E147" s="19" t="str">
        <f>IF(A147&lt;&gt;"", IF(COUNTIF(Technical_Evaluations!C:C, A147), "Present", "Absent"), "")</f>
        <v>Absent</v>
      </c>
      <c r="F147" s="19" t="str">
        <f>IF(A147&lt;&gt;"", IF(COUNTIF(Technical_Evaluations!C:C, A147), "Present", "Absent"), "")
</f>
        <v>Absent</v>
      </c>
      <c r="G147" s="20" t="str">
        <f>IFERROR(VLOOKUP(A147, SoftSkills_Evaluations!C:L, 8, FALSE), "")</f>
        <v/>
      </c>
      <c r="H147" s="20" t="str">
        <f>IFERROR(VLOOKUP(A147, Technical_Evaluations!C:L, 7, FALSE), "")
</f>
        <v/>
      </c>
      <c r="I147" s="20" t="str">
        <f>IFERROR(VLOOKUP(A147, 'GD Evaluations'!A:G, 7, FALSE), "")</f>
        <v/>
      </c>
      <c r="J147" s="20">
        <f t="shared" si="1"/>
        <v>0</v>
      </c>
      <c r="K147" s="20">
        <f t="shared" si="2"/>
        <v>0</v>
      </c>
    </row>
    <row r="148">
      <c r="A148" s="16" t="s">
        <v>205</v>
      </c>
      <c r="B148" s="16" t="s">
        <v>503</v>
      </c>
      <c r="C148" s="18" t="s">
        <v>38</v>
      </c>
      <c r="D148" s="18" t="s">
        <v>52</v>
      </c>
      <c r="E148" s="19" t="str">
        <f>IF(A148&lt;&gt;"", IF(COUNTIF(Technical_Evaluations!C:C, A148), "Present", "Absent"), "")</f>
        <v>Present</v>
      </c>
      <c r="F148" s="19" t="str">
        <f>IF(A148&lt;&gt;"", IF(COUNTIF(Technical_Evaluations!C:C, A148), "Present", "Absent"), "")
</f>
        <v>Present</v>
      </c>
      <c r="G148" s="20">
        <f>IFERROR(VLOOKUP(A148, SoftSkills_Evaluations!C:L, 8, FALSE), "")</f>
        <v>60.4</v>
      </c>
      <c r="H148" s="20">
        <f>IFERROR(VLOOKUP(A148, Technical_Evaluations!C:L, 7, FALSE), "")
</f>
        <v>91.8</v>
      </c>
      <c r="I148" s="20">
        <f>IFERROR(VLOOKUP(A148, 'GD Evaluations'!A:G, 7, FALSE), "")</f>
        <v>45</v>
      </c>
      <c r="J148" s="20">
        <f t="shared" si="1"/>
        <v>65.73333333</v>
      </c>
      <c r="K148" s="20">
        <f t="shared" si="2"/>
        <v>52.7</v>
      </c>
    </row>
    <row r="149">
      <c r="A149" s="16" t="s">
        <v>416</v>
      </c>
      <c r="B149" s="16" t="s">
        <v>636</v>
      </c>
      <c r="C149" s="18" t="s">
        <v>51</v>
      </c>
      <c r="D149" s="18" t="s">
        <v>39</v>
      </c>
      <c r="E149" s="19" t="str">
        <f>IF(A149&lt;&gt;"", IF(COUNTIF(Technical_Evaluations!C:C, A149), "Present", "Absent"), "")</f>
        <v>Absent</v>
      </c>
      <c r="F149" s="19" t="str">
        <f>IF(A149&lt;&gt;"", IF(COUNTIF(Technical_Evaluations!C:C, A149), "Present", "Absent"), "")
</f>
        <v>Absent</v>
      </c>
      <c r="G149" s="20" t="str">
        <f>IFERROR(VLOOKUP(A149, SoftSkills_Evaluations!C:L, 8, FALSE), "")</f>
        <v/>
      </c>
      <c r="H149" s="20" t="str">
        <f>IFERROR(VLOOKUP(A149, Technical_Evaluations!C:L, 7, FALSE), "")
</f>
        <v/>
      </c>
      <c r="I149" s="20">
        <f>IFERROR(VLOOKUP(A149, 'GD Evaluations'!A:G, 7, FALSE), "")</f>
        <v>13</v>
      </c>
      <c r="J149" s="20">
        <f t="shared" si="1"/>
        <v>4.333333333</v>
      </c>
      <c r="K149" s="20">
        <f t="shared" si="2"/>
        <v>6.5</v>
      </c>
    </row>
    <row r="150">
      <c r="A150" s="18" t="s">
        <v>698</v>
      </c>
      <c r="B150" s="16" t="s">
        <v>699</v>
      </c>
      <c r="C150" s="18" t="s">
        <v>38</v>
      </c>
      <c r="D150" s="18" t="s">
        <v>39</v>
      </c>
      <c r="E150" s="19" t="str">
        <f>IF(A150&lt;&gt;"", IF(COUNTIF(Technical_Evaluations!C:C, A150), "Present", "Absent"), "")</f>
        <v>Absent</v>
      </c>
      <c r="F150" s="19" t="str">
        <f>IF(A150&lt;&gt;"", IF(COUNTIF(Technical_Evaluations!C:C, A150), "Present", "Absent"), "")
</f>
        <v>Absent</v>
      </c>
      <c r="G150" s="20" t="str">
        <f>IFERROR(VLOOKUP(A150, SoftSkills_Evaluations!C:L, 8, FALSE), "")</f>
        <v/>
      </c>
      <c r="H150" s="20" t="str">
        <f>IFERROR(VLOOKUP(A150, Technical_Evaluations!C:L, 7, FALSE), "")
</f>
        <v/>
      </c>
      <c r="I150" s="20" t="str">
        <f>IFERROR(VLOOKUP(A150, 'GD Evaluations'!A:G, 7, FALSE), "")</f>
        <v/>
      </c>
      <c r="J150" s="20">
        <f t="shared" si="1"/>
        <v>0</v>
      </c>
      <c r="K150" s="20">
        <f t="shared" si="2"/>
        <v>0</v>
      </c>
    </row>
    <row r="151">
      <c r="A151" s="16" t="s">
        <v>698</v>
      </c>
      <c r="B151" s="16" t="s">
        <v>699</v>
      </c>
      <c r="C151" s="18" t="s">
        <v>38</v>
      </c>
      <c r="D151" s="18" t="s">
        <v>39</v>
      </c>
      <c r="E151" s="19" t="str">
        <f>IF(A151&lt;&gt;"", IF(COUNTIF(Technical_Evaluations!C:C, A151), "Present", "Absent"), "")</f>
        <v>Absent</v>
      </c>
      <c r="F151" s="19" t="str">
        <f>IF(A151&lt;&gt;"", IF(COUNTIF(Technical_Evaluations!C:C, A151), "Present", "Absent"), "")
</f>
        <v>Absent</v>
      </c>
      <c r="G151" s="20" t="str">
        <f>IFERROR(VLOOKUP(A151, SoftSkills_Evaluations!C:L, 8, FALSE), "")</f>
        <v/>
      </c>
      <c r="H151" s="20" t="str">
        <f>IFERROR(VLOOKUP(A151, Technical_Evaluations!C:L, 7, FALSE), "")
</f>
        <v/>
      </c>
      <c r="I151" s="20" t="str">
        <f>IFERROR(VLOOKUP(A151, 'GD Evaluations'!A:G, 7, FALSE), "")</f>
        <v/>
      </c>
      <c r="J151" s="20">
        <f t="shared" si="1"/>
        <v>0</v>
      </c>
      <c r="K151" s="20">
        <f t="shared" si="2"/>
        <v>0</v>
      </c>
    </row>
    <row r="152">
      <c r="A152" s="16" t="s">
        <v>209</v>
      </c>
      <c r="B152" s="16" t="s">
        <v>504</v>
      </c>
      <c r="C152" s="18" t="s">
        <v>53</v>
      </c>
      <c r="D152" s="18" t="s">
        <v>59</v>
      </c>
      <c r="E152" s="19" t="str">
        <f>IF(A152&lt;&gt;"", IF(COUNTIF(Technical_Evaluations!C:C, A152), "Present", "Absent"), "")</f>
        <v>Present</v>
      </c>
      <c r="F152" s="19" t="str">
        <f>IF(A152&lt;&gt;"", IF(COUNTIF(Technical_Evaluations!C:C, A152), "Present", "Absent"), "")
</f>
        <v>Present</v>
      </c>
      <c r="G152" s="20">
        <f>IFERROR(VLOOKUP(A152, SoftSkills_Evaluations!C:L, 8, FALSE), "")</f>
        <v>74</v>
      </c>
      <c r="H152" s="20">
        <f>IFERROR(VLOOKUP(A152, Technical_Evaluations!C:L, 7, FALSE), "")
</f>
        <v>56.4</v>
      </c>
      <c r="I152" s="20">
        <f>IFERROR(VLOOKUP(A152, 'GD Evaluations'!A:G, 7, FALSE), "")</f>
        <v>66</v>
      </c>
      <c r="J152" s="20">
        <f t="shared" si="1"/>
        <v>65.46666667</v>
      </c>
      <c r="K152" s="20">
        <f t="shared" si="2"/>
        <v>70</v>
      </c>
    </row>
    <row r="153">
      <c r="A153" s="16" t="s">
        <v>123</v>
      </c>
      <c r="B153" s="16" t="s">
        <v>579</v>
      </c>
      <c r="C153" s="18" t="s">
        <v>38</v>
      </c>
      <c r="D153" s="18" t="s">
        <v>52</v>
      </c>
      <c r="E153" s="19" t="str">
        <f>IF(A153&lt;&gt;"", IF(COUNTIF(Technical_Evaluations!C:C, A153), "Present", "Absent"), "")</f>
        <v>Absent</v>
      </c>
      <c r="F153" s="19" t="str">
        <f>IF(A153&lt;&gt;"", IF(COUNTIF(Technical_Evaluations!C:C, A153), "Present", "Absent"), "")
</f>
        <v>Absent</v>
      </c>
      <c r="G153" s="20" t="str">
        <f>IFERROR(VLOOKUP(A153, SoftSkills_Evaluations!C:L, 8, FALSE), "")</f>
        <v/>
      </c>
      <c r="H153" s="20" t="str">
        <f>IFERROR(VLOOKUP(A153, Technical_Evaluations!C:L, 7, FALSE), "")
</f>
        <v/>
      </c>
      <c r="I153" s="20">
        <f>IFERROR(VLOOKUP(A153, 'GD Evaluations'!A:G, 7, FALSE), "")</f>
        <v>84</v>
      </c>
      <c r="J153" s="20">
        <f t="shared" si="1"/>
        <v>28</v>
      </c>
      <c r="K153" s="20">
        <f t="shared" si="2"/>
        <v>42</v>
      </c>
    </row>
    <row r="154">
      <c r="A154" s="16" t="s">
        <v>124</v>
      </c>
      <c r="B154" s="16" t="s">
        <v>480</v>
      </c>
      <c r="C154" s="18" t="s">
        <v>53</v>
      </c>
      <c r="D154" s="18" t="s">
        <v>39</v>
      </c>
      <c r="E154" s="19" t="str">
        <f>IF(A154&lt;&gt;"", IF(COUNTIF(Technical_Evaluations!C:C, A154), "Present", "Absent"), "")</f>
        <v>Present</v>
      </c>
      <c r="F154" s="19" t="str">
        <f>IF(A154&lt;&gt;"", IF(COUNTIF(Technical_Evaluations!C:C, A154), "Present", "Absent"), "")
</f>
        <v>Present</v>
      </c>
      <c r="G154" s="20">
        <f>IFERROR(VLOOKUP(A154, SoftSkills_Evaluations!C:L, 8, FALSE), "")</f>
        <v>93.6</v>
      </c>
      <c r="H154" s="20">
        <f>IFERROR(VLOOKUP(A154, Technical_Evaluations!C:L, 7, FALSE), "")
</f>
        <v>95.4</v>
      </c>
      <c r="I154" s="20" t="str">
        <f>IFERROR(VLOOKUP(A154, 'GD Evaluations'!A:G, 7, FALSE), "")</f>
        <v/>
      </c>
      <c r="J154" s="20">
        <f t="shared" si="1"/>
        <v>63</v>
      </c>
      <c r="K154" s="20">
        <f t="shared" si="2"/>
        <v>46.8</v>
      </c>
    </row>
    <row r="155">
      <c r="A155" s="16" t="s">
        <v>700</v>
      </c>
      <c r="B155" s="16" t="s">
        <v>701</v>
      </c>
      <c r="C155" s="18" t="s">
        <v>38</v>
      </c>
      <c r="D155" s="18" t="s">
        <v>52</v>
      </c>
      <c r="E155" s="19" t="str">
        <f>IF(A155&lt;&gt;"", IF(COUNTIF(Technical_Evaluations!C:C, A155), "Present", "Absent"), "")</f>
        <v>Absent</v>
      </c>
      <c r="F155" s="19" t="str">
        <f>IF(A155&lt;&gt;"", IF(COUNTIF(Technical_Evaluations!C:C, A155), "Present", "Absent"), "")
</f>
        <v>Absent</v>
      </c>
      <c r="G155" s="20" t="str">
        <f>IFERROR(VLOOKUP(A155, SoftSkills_Evaluations!C:L, 8, FALSE), "")</f>
        <v/>
      </c>
      <c r="H155" s="20" t="str">
        <f>IFERROR(VLOOKUP(A155, Technical_Evaluations!C:L, 7, FALSE), "")
</f>
        <v/>
      </c>
      <c r="I155" s="20" t="str">
        <f>IFERROR(VLOOKUP(A155, 'GD Evaluations'!A:G, 7, FALSE), "")</f>
        <v/>
      </c>
      <c r="J155" s="20">
        <f t="shared" si="1"/>
        <v>0</v>
      </c>
      <c r="K155" s="20">
        <f t="shared" si="2"/>
        <v>0</v>
      </c>
    </row>
    <row r="156">
      <c r="A156" s="16" t="s">
        <v>340</v>
      </c>
      <c r="B156" s="16" t="s">
        <v>572</v>
      </c>
      <c r="C156" s="18" t="s">
        <v>38</v>
      </c>
      <c r="D156" s="18" t="s">
        <v>39</v>
      </c>
      <c r="E156" s="19" t="str">
        <f>IF(A156&lt;&gt;"", IF(COUNTIF(Technical_Evaluations!C:C, A156), "Present", "Absent"), "")</f>
        <v>Absent</v>
      </c>
      <c r="F156" s="19" t="str">
        <f>IF(A156&lt;&gt;"", IF(COUNTIF(Technical_Evaluations!C:C, A156), "Present", "Absent"), "")
</f>
        <v>Absent</v>
      </c>
      <c r="G156" s="20">
        <f>IFERROR(VLOOKUP(A156, SoftSkills_Evaluations!C:L, 8, FALSE), "")</f>
        <v>51.2</v>
      </c>
      <c r="H156" s="20" t="str">
        <f>IFERROR(VLOOKUP(A156, Technical_Evaluations!C:L, 7, FALSE), "")
</f>
        <v/>
      </c>
      <c r="I156" s="20">
        <f>IFERROR(VLOOKUP(A156, 'GD Evaluations'!A:G, 7, FALSE), "")</f>
        <v>42</v>
      </c>
      <c r="J156" s="20">
        <f t="shared" si="1"/>
        <v>31.06666667</v>
      </c>
      <c r="K156" s="20">
        <f t="shared" si="2"/>
        <v>46.6</v>
      </c>
    </row>
    <row r="157">
      <c r="A157" s="16" t="s">
        <v>702</v>
      </c>
      <c r="B157" s="16" t="s">
        <v>703</v>
      </c>
      <c r="C157" s="18" t="s">
        <v>51</v>
      </c>
      <c r="D157" s="18" t="s">
        <v>52</v>
      </c>
      <c r="E157" s="19" t="str">
        <f>IF(A157&lt;&gt;"", IF(COUNTIF(Technical_Evaluations!C:C, A157), "Present", "Absent"), "")</f>
        <v>Absent</v>
      </c>
      <c r="F157" s="19" t="str">
        <f>IF(A157&lt;&gt;"", IF(COUNTIF(Technical_Evaluations!C:C, A157), "Present", "Absent"), "")
</f>
        <v>Absent</v>
      </c>
      <c r="G157" s="20" t="str">
        <f>IFERROR(VLOOKUP(A157, SoftSkills_Evaluations!C:L, 8, FALSE), "")</f>
        <v/>
      </c>
      <c r="H157" s="20" t="str">
        <f>IFERROR(VLOOKUP(A157, Technical_Evaluations!C:L, 7, FALSE), "")
</f>
        <v/>
      </c>
      <c r="I157" s="20" t="str">
        <f>IFERROR(VLOOKUP(A157, 'GD Evaluations'!A:G, 7, FALSE), "")</f>
        <v/>
      </c>
      <c r="J157" s="20">
        <f t="shared" si="1"/>
        <v>0</v>
      </c>
      <c r="K157" s="20">
        <f t="shared" si="2"/>
        <v>0</v>
      </c>
    </row>
    <row r="158">
      <c r="A158" s="16" t="s">
        <v>704</v>
      </c>
      <c r="B158" s="16" t="s">
        <v>705</v>
      </c>
      <c r="C158" s="18" t="s">
        <v>51</v>
      </c>
      <c r="D158" s="18" t="s">
        <v>39</v>
      </c>
      <c r="E158" s="19" t="str">
        <f>IF(A158&lt;&gt;"", IF(COUNTIF(Technical_Evaluations!C:C, A158), "Present", "Absent"), "")</f>
        <v>Absent</v>
      </c>
      <c r="F158" s="19" t="str">
        <f>IF(A158&lt;&gt;"", IF(COUNTIF(Technical_Evaluations!C:C, A158), "Present", "Absent"), "")
</f>
        <v>Absent</v>
      </c>
      <c r="G158" s="20" t="str">
        <f>IFERROR(VLOOKUP(A158, SoftSkills_Evaluations!C:L, 8, FALSE), "")</f>
        <v/>
      </c>
      <c r="H158" s="20" t="str">
        <f>IFERROR(VLOOKUP(A158, Technical_Evaluations!C:L, 7, FALSE), "")
</f>
        <v/>
      </c>
      <c r="I158" s="20" t="str">
        <f>IFERROR(VLOOKUP(A158, 'GD Evaluations'!A:G, 7, FALSE), "")</f>
        <v/>
      </c>
      <c r="J158" s="20">
        <f t="shared" si="1"/>
        <v>0</v>
      </c>
      <c r="K158" s="20">
        <f t="shared" si="2"/>
        <v>0</v>
      </c>
    </row>
    <row r="159">
      <c r="A159" s="16" t="s">
        <v>61</v>
      </c>
      <c r="B159" s="16" t="s">
        <v>597</v>
      </c>
      <c r="C159" s="18" t="s">
        <v>38</v>
      </c>
      <c r="D159" s="18" t="s">
        <v>39</v>
      </c>
      <c r="E159" s="19" t="str">
        <f>IF(A159&lt;&gt;"", IF(COUNTIF(Technical_Evaluations!C:C, A159), "Present", "Absent"), "")</f>
        <v>Present</v>
      </c>
      <c r="F159" s="19" t="str">
        <f>IF(A159&lt;&gt;"", IF(COUNTIF(Technical_Evaluations!C:C, A159), "Present", "Absent"), "")
</f>
        <v>Present</v>
      </c>
      <c r="G159" s="20">
        <f>IFERROR(VLOOKUP(A159, SoftSkills_Evaluations!C:L, 8, FALSE), "")</f>
        <v>30.2</v>
      </c>
      <c r="H159" s="20">
        <f>IFERROR(VLOOKUP(A159, Technical_Evaluations!C:L, 7, FALSE), "")
</f>
        <v>44.2</v>
      </c>
      <c r="I159" s="20">
        <f>IFERROR(VLOOKUP(A159, 'GD Evaluations'!A:G, 7, FALSE), "")</f>
        <v>19</v>
      </c>
      <c r="J159" s="20">
        <f t="shared" si="1"/>
        <v>31.13333333</v>
      </c>
      <c r="K159" s="20">
        <f t="shared" si="2"/>
        <v>24.6</v>
      </c>
    </row>
    <row r="160">
      <c r="A160" s="16" t="s">
        <v>706</v>
      </c>
      <c r="B160" s="16" t="s">
        <v>707</v>
      </c>
      <c r="C160" s="18" t="s">
        <v>38</v>
      </c>
      <c r="D160" s="18" t="s">
        <v>59</v>
      </c>
      <c r="E160" s="19" t="str">
        <f>IF(A160&lt;&gt;"", IF(COUNTIF(Technical_Evaluations!C:C, A160), "Present", "Absent"), "")</f>
        <v>Absent</v>
      </c>
      <c r="F160" s="19" t="str">
        <f>IF(A160&lt;&gt;"", IF(COUNTIF(Technical_Evaluations!C:C, A160), "Present", "Absent"), "")
</f>
        <v>Absent</v>
      </c>
      <c r="G160" s="20" t="str">
        <f>IFERROR(VLOOKUP(A160, SoftSkills_Evaluations!C:L, 8, FALSE), "")</f>
        <v/>
      </c>
      <c r="H160" s="20" t="str">
        <f>IFERROR(VLOOKUP(A160, Technical_Evaluations!C:L, 7, FALSE), "")
</f>
        <v/>
      </c>
      <c r="I160" s="20" t="str">
        <f>IFERROR(VLOOKUP(A160, 'GD Evaluations'!A:G, 7, FALSE), "")</f>
        <v/>
      </c>
      <c r="J160" s="20">
        <f t="shared" si="1"/>
        <v>0</v>
      </c>
      <c r="K160" s="20">
        <f t="shared" si="2"/>
        <v>0</v>
      </c>
    </row>
    <row r="161">
      <c r="A161" s="16" t="s">
        <v>82</v>
      </c>
      <c r="B161" s="16" t="s">
        <v>558</v>
      </c>
      <c r="C161" s="18" t="s">
        <v>51</v>
      </c>
      <c r="D161" s="18" t="s">
        <v>52</v>
      </c>
      <c r="E161" s="19" t="str">
        <f>IF(A161&lt;&gt;"", IF(COUNTIF(Technical_Evaluations!C:C, A161), "Present", "Absent"), "")</f>
        <v>Present</v>
      </c>
      <c r="F161" s="19" t="str">
        <f>IF(A161&lt;&gt;"", IF(COUNTIF(Technical_Evaluations!C:C, A161), "Present", "Absent"), "")
</f>
        <v>Present</v>
      </c>
      <c r="G161" s="20" t="str">
        <f>IFERROR(VLOOKUP(A161, SoftSkills_Evaluations!C:L, 8, FALSE), "")</f>
        <v/>
      </c>
      <c r="H161" s="20">
        <f>IFERROR(VLOOKUP(A161, Technical_Evaluations!C:L, 7, FALSE), "")
</f>
        <v>56.6</v>
      </c>
      <c r="I161" s="20">
        <f>IFERROR(VLOOKUP(A161, 'GD Evaluations'!A:G, 7, FALSE), "")</f>
        <v>57</v>
      </c>
      <c r="J161" s="20">
        <f t="shared" si="1"/>
        <v>37.86666667</v>
      </c>
      <c r="K161" s="20">
        <f t="shared" si="2"/>
        <v>28.5</v>
      </c>
    </row>
    <row r="162">
      <c r="A162" s="69" t="s">
        <v>304</v>
      </c>
      <c r="B162" s="69" t="s">
        <v>589</v>
      </c>
      <c r="C162" s="69" t="s">
        <v>53</v>
      </c>
      <c r="D162" s="69" t="s">
        <v>39</v>
      </c>
      <c r="E162" s="19" t="str">
        <f>IF(A162&lt;&gt;"", IF(COUNTIF(Technical_Evaluations!C:C, A162), "Present", "Absent"), "")</f>
        <v>Absent</v>
      </c>
      <c r="F162" s="19" t="str">
        <f>IF(A162&lt;&gt;"", IF(COUNTIF(Technical_Evaluations!C:C, A162), "Present", "Absent"), "")
</f>
        <v>Absent</v>
      </c>
      <c r="G162" s="20" t="str">
        <f>IFERROR(VLOOKUP(A162, SoftSkills_Evaluations!C:L, 8, FALSE), "")</f>
        <v/>
      </c>
      <c r="H162" s="20" t="str">
        <f>IFERROR(VLOOKUP(A162, Technical_Evaluations!C:L, 7, FALSE), "")
</f>
        <v/>
      </c>
      <c r="I162" s="20">
        <f>IFERROR(VLOOKUP(A162, 'GD Evaluations'!A:G, 7, FALSE), "")</f>
        <v>76</v>
      </c>
      <c r="J162" s="20">
        <f t="shared" si="1"/>
        <v>25.33333333</v>
      </c>
      <c r="K162" s="20">
        <f t="shared" si="2"/>
        <v>38</v>
      </c>
    </row>
    <row r="163">
      <c r="A163" s="69" t="s">
        <v>271</v>
      </c>
      <c r="B163" s="69" t="s">
        <v>598</v>
      </c>
      <c r="C163" s="69" t="s">
        <v>53</v>
      </c>
      <c r="D163" s="69" t="s">
        <v>39</v>
      </c>
      <c r="E163" s="19" t="str">
        <f>IF(A163&lt;&gt;"", IF(COUNTIF(Technical_Evaluations!C:C, A163), "Present", "Absent"), "")</f>
        <v>Absent</v>
      </c>
      <c r="F163" s="19" t="str">
        <f>IF(A163&lt;&gt;"", IF(COUNTIF(Technical_Evaluations!C:C, A163), "Present", "Absent"), "")
</f>
        <v>Absent</v>
      </c>
      <c r="G163" s="20" t="str">
        <f>IFERROR(VLOOKUP(A163, SoftSkills_Evaluations!C:L, 8, FALSE), "")</f>
        <v/>
      </c>
      <c r="H163" s="20" t="str">
        <f>IFERROR(VLOOKUP(A163, Technical_Evaluations!C:L, 7, FALSE), "")
</f>
        <v/>
      </c>
      <c r="I163" s="20">
        <f>IFERROR(VLOOKUP(A163, 'GD Evaluations'!A:G, 7, FALSE), "")</f>
        <v>59</v>
      </c>
      <c r="J163" s="20">
        <f t="shared" si="1"/>
        <v>19.66666667</v>
      </c>
      <c r="K163" s="20">
        <f t="shared" si="2"/>
        <v>29.5</v>
      </c>
    </row>
    <row r="164">
      <c r="A164" s="69" t="s">
        <v>708</v>
      </c>
      <c r="B164" s="69" t="s">
        <v>709</v>
      </c>
      <c r="C164" s="69" t="s">
        <v>53</v>
      </c>
      <c r="D164" s="69" t="s">
        <v>39</v>
      </c>
      <c r="E164" s="19" t="str">
        <f>IF(A164&lt;&gt;"", IF(COUNTIF(Technical_Evaluations!C:C, A164), "Present", "Absent"), "")</f>
        <v>Absent</v>
      </c>
      <c r="F164" s="19" t="str">
        <f>IF(A164&lt;&gt;"", IF(COUNTIF(Technical_Evaluations!C:C, A164), "Present", "Absent"), "")
</f>
        <v>Absent</v>
      </c>
      <c r="G164" s="20" t="str">
        <f>IFERROR(VLOOKUP(A164, SoftSkills_Evaluations!C:L, 8, FALSE), "")</f>
        <v/>
      </c>
      <c r="H164" s="20" t="str">
        <f>IFERROR(VLOOKUP(A164, Technical_Evaluations!C:L, 7, FALSE), "")
</f>
        <v/>
      </c>
      <c r="I164" s="20" t="str">
        <f>IFERROR(VLOOKUP(A164, 'GD Evaluations'!A:G, 7, FALSE), "")</f>
        <v/>
      </c>
      <c r="J164" s="20">
        <f t="shared" si="1"/>
        <v>0</v>
      </c>
      <c r="K164" s="20">
        <f t="shared" si="2"/>
        <v>0</v>
      </c>
    </row>
    <row r="165">
      <c r="A165" s="69" t="s">
        <v>66</v>
      </c>
      <c r="B165" s="69" t="s">
        <v>592</v>
      </c>
      <c r="C165" s="69" t="s">
        <v>53</v>
      </c>
      <c r="D165" s="69" t="s">
        <v>39</v>
      </c>
      <c r="E165" s="19" t="str">
        <f>IF(A165&lt;&gt;"", IF(COUNTIF(Technical_Evaluations!C:C, A165), "Present", "Absent"), "")</f>
        <v>Absent</v>
      </c>
      <c r="F165" s="19" t="str">
        <f>IF(A165&lt;&gt;"", IF(COUNTIF(Technical_Evaluations!C:C, A165), "Present", "Absent"), "")
</f>
        <v>Absent</v>
      </c>
      <c r="G165" s="20" t="str">
        <f>IFERROR(VLOOKUP(A165, SoftSkills_Evaluations!C:L, 8, FALSE), "")</f>
        <v/>
      </c>
      <c r="H165" s="20" t="str">
        <f>IFERROR(VLOOKUP(A165, Technical_Evaluations!C:L, 7, FALSE), "")
</f>
        <v/>
      </c>
      <c r="I165" s="20">
        <f>IFERROR(VLOOKUP(A165, 'GD Evaluations'!A:G, 7, FALSE), "")</f>
        <v>69</v>
      </c>
      <c r="J165" s="20">
        <f t="shared" si="1"/>
        <v>23</v>
      </c>
      <c r="K165" s="20">
        <f t="shared" si="2"/>
        <v>34.5</v>
      </c>
    </row>
    <row r="166">
      <c r="A166" s="69" t="s">
        <v>710</v>
      </c>
      <c r="B166" s="69" t="s">
        <v>711</v>
      </c>
      <c r="C166" s="69" t="s">
        <v>53</v>
      </c>
      <c r="D166" s="69" t="s">
        <v>39</v>
      </c>
      <c r="E166" s="19" t="str">
        <f>IF(A166&lt;&gt;"", IF(COUNTIF(Technical_Evaluations!C:C, A166), "Present", "Absent"), "")</f>
        <v>Absent</v>
      </c>
      <c r="F166" s="19" t="str">
        <f>IF(A166&lt;&gt;"", IF(COUNTIF(Technical_Evaluations!C:C, A166), "Present", "Absent"), "")
</f>
        <v>Absent</v>
      </c>
      <c r="G166" s="20" t="str">
        <f>IFERROR(VLOOKUP(A166, SoftSkills_Evaluations!C:L, 8, FALSE), "")</f>
        <v/>
      </c>
      <c r="H166" s="20" t="str">
        <f>IFERROR(VLOOKUP(A166, Technical_Evaluations!C:L, 7, FALSE), "")
</f>
        <v/>
      </c>
      <c r="I166" s="20" t="str">
        <f>IFERROR(VLOOKUP(A166, 'GD Evaluations'!A:G, 7, FALSE), "")</f>
        <v/>
      </c>
      <c r="J166" s="20">
        <f t="shared" si="1"/>
        <v>0</v>
      </c>
      <c r="K166" s="20">
        <f t="shared" si="2"/>
        <v>0</v>
      </c>
    </row>
    <row r="167">
      <c r="A167" s="69" t="s">
        <v>712</v>
      </c>
      <c r="B167" s="69" t="s">
        <v>713</v>
      </c>
      <c r="C167" s="69" t="s">
        <v>53</v>
      </c>
      <c r="D167" s="69" t="s">
        <v>39</v>
      </c>
      <c r="E167" s="19" t="str">
        <f>IF(A167&lt;&gt;"", IF(COUNTIF(Technical_Evaluations!C:C, A167), "Present", "Absent"), "")</f>
        <v>Absent</v>
      </c>
      <c r="F167" s="19" t="str">
        <f>IF(A167&lt;&gt;"", IF(COUNTIF(Technical_Evaluations!C:C, A167), "Present", "Absent"), "")
</f>
        <v>Absent</v>
      </c>
      <c r="G167" s="20" t="str">
        <f>IFERROR(VLOOKUP(A167, SoftSkills_Evaluations!C:L, 8, FALSE), "")</f>
        <v/>
      </c>
      <c r="H167" s="20" t="str">
        <f>IFERROR(VLOOKUP(A167, Technical_Evaluations!C:L, 7, FALSE), "")
</f>
        <v/>
      </c>
      <c r="I167" s="20" t="str">
        <f>IFERROR(VLOOKUP(A167, 'GD Evaluations'!A:G, 7, FALSE), "")</f>
        <v/>
      </c>
      <c r="J167" s="20">
        <f t="shared" si="1"/>
        <v>0</v>
      </c>
      <c r="K167" s="20">
        <f t="shared" si="2"/>
        <v>0</v>
      </c>
    </row>
    <row r="168">
      <c r="A168" s="69" t="s">
        <v>227</v>
      </c>
      <c r="B168" s="69" t="s">
        <v>614</v>
      </c>
      <c r="C168" s="69" t="s">
        <v>53</v>
      </c>
      <c r="D168" s="69" t="s">
        <v>39</v>
      </c>
      <c r="E168" s="19" t="str">
        <f>IF(A168&lt;&gt;"", IF(COUNTIF(Technical_Evaluations!C:C, A168), "Present", "Absent"), "")</f>
        <v>Absent</v>
      </c>
      <c r="F168" s="19" t="str">
        <f>IF(A168&lt;&gt;"", IF(COUNTIF(Technical_Evaluations!C:C, A168), "Present", "Absent"), "")
</f>
        <v>Absent</v>
      </c>
      <c r="G168" s="20" t="str">
        <f>IFERROR(VLOOKUP(A168, SoftSkills_Evaluations!C:L, 8, FALSE), "")</f>
        <v/>
      </c>
      <c r="H168" s="20" t="str">
        <f>IFERROR(VLOOKUP(A168, Technical_Evaluations!C:L, 7, FALSE), "")
</f>
        <v/>
      </c>
      <c r="I168" s="20">
        <f>IFERROR(VLOOKUP(A168, 'GD Evaluations'!A:G, 7, FALSE), "")</f>
        <v>46</v>
      </c>
      <c r="J168" s="20">
        <f t="shared" si="1"/>
        <v>15.33333333</v>
      </c>
      <c r="K168" s="20">
        <f t="shared" si="2"/>
        <v>23</v>
      </c>
    </row>
    <row r="169">
      <c r="A169" s="69" t="s">
        <v>714</v>
      </c>
      <c r="B169" s="69" t="s">
        <v>715</v>
      </c>
      <c r="C169" s="69" t="s">
        <v>53</v>
      </c>
      <c r="D169" s="69" t="s">
        <v>39</v>
      </c>
      <c r="E169" s="19" t="str">
        <f>IF(A169&lt;&gt;"", IF(COUNTIF(Technical_Evaluations!C:C, A169), "Present", "Absent"), "")</f>
        <v>Absent</v>
      </c>
      <c r="F169" s="19" t="str">
        <f>IF(A169&lt;&gt;"", IF(COUNTIF(Technical_Evaluations!C:C, A169), "Present", "Absent"), "")
</f>
        <v>Absent</v>
      </c>
      <c r="G169" s="20" t="str">
        <f>IFERROR(VLOOKUP(A169, SoftSkills_Evaluations!C:L, 8, FALSE), "")</f>
        <v/>
      </c>
      <c r="H169" s="20" t="str">
        <f>IFERROR(VLOOKUP(A169, Technical_Evaluations!C:L, 7, FALSE), "")
</f>
        <v/>
      </c>
      <c r="I169" s="20" t="str">
        <f>IFERROR(VLOOKUP(A169, 'GD Evaluations'!A:G, 7, FALSE), "")</f>
        <v/>
      </c>
      <c r="J169" s="20">
        <f t="shared" si="1"/>
        <v>0</v>
      </c>
      <c r="K169" s="20">
        <f t="shared" si="2"/>
        <v>0</v>
      </c>
    </row>
    <row r="170">
      <c r="A170" s="69" t="s">
        <v>716</v>
      </c>
      <c r="B170" s="69" t="s">
        <v>717</v>
      </c>
      <c r="C170" s="69" t="s">
        <v>53</v>
      </c>
      <c r="D170" s="69" t="s">
        <v>39</v>
      </c>
      <c r="E170" s="19" t="str">
        <f>IF(A170&lt;&gt;"", IF(COUNTIF(Technical_Evaluations!C:C, A170), "Present", "Absent"), "")</f>
        <v>Absent</v>
      </c>
      <c r="F170" s="19" t="str">
        <f>IF(A170&lt;&gt;"", IF(COUNTIF(Technical_Evaluations!C:C, A170), "Present", "Absent"), "")
</f>
        <v>Absent</v>
      </c>
      <c r="G170" s="20" t="str">
        <f>IFERROR(VLOOKUP(A170, SoftSkills_Evaluations!C:L, 8, FALSE), "")</f>
        <v/>
      </c>
      <c r="H170" s="20" t="str">
        <f>IFERROR(VLOOKUP(A170, Technical_Evaluations!C:L, 7, FALSE), "")
</f>
        <v/>
      </c>
      <c r="I170" s="20" t="str">
        <f>IFERROR(VLOOKUP(A170, 'GD Evaluations'!A:G, 7, FALSE), "")</f>
        <v/>
      </c>
      <c r="J170" s="20">
        <f t="shared" si="1"/>
        <v>0</v>
      </c>
      <c r="K170" s="20">
        <f t="shared" si="2"/>
        <v>0</v>
      </c>
    </row>
    <row r="171">
      <c r="A171" s="69" t="s">
        <v>130</v>
      </c>
      <c r="B171" s="69" t="s">
        <v>601</v>
      </c>
      <c r="C171" s="69" t="s">
        <v>53</v>
      </c>
      <c r="D171" s="69" t="s">
        <v>39</v>
      </c>
      <c r="E171" s="19" t="str">
        <f>IF(A171&lt;&gt;"", IF(COUNTIF(Technical_Evaluations!C:C, A171), "Present", "Absent"), "")</f>
        <v>Absent</v>
      </c>
      <c r="F171" s="19" t="str">
        <f>IF(A171&lt;&gt;"", IF(COUNTIF(Technical_Evaluations!C:C, A171), "Present", "Absent"), "")
</f>
        <v>Absent</v>
      </c>
      <c r="G171" s="20" t="str">
        <f>IFERROR(VLOOKUP(A171, SoftSkills_Evaluations!C:L, 8, FALSE), "")</f>
        <v/>
      </c>
      <c r="H171" s="20" t="str">
        <f>IFERROR(VLOOKUP(A171, Technical_Evaluations!C:L, 7, FALSE), "")
</f>
        <v/>
      </c>
      <c r="I171" s="20">
        <f>IFERROR(VLOOKUP(A171, 'GD Evaluations'!A:G, 7, FALSE), "")</f>
        <v>56</v>
      </c>
      <c r="J171" s="20">
        <f t="shared" si="1"/>
        <v>18.66666667</v>
      </c>
      <c r="K171" s="20">
        <f t="shared" si="2"/>
        <v>28</v>
      </c>
    </row>
    <row r="172">
      <c r="A172" s="69" t="s">
        <v>584</v>
      </c>
      <c r="B172" s="69" t="s">
        <v>585</v>
      </c>
      <c r="C172" s="69" t="s">
        <v>53</v>
      </c>
      <c r="D172" s="69" t="s">
        <v>39</v>
      </c>
      <c r="E172" s="19" t="str">
        <f>IF(A172&lt;&gt;"", IF(COUNTIF(Technical_Evaluations!C:C, A172), "Present", "Absent"), "")</f>
        <v>Absent</v>
      </c>
      <c r="F172" s="19" t="str">
        <f>IF(A172&lt;&gt;"", IF(COUNTIF(Technical_Evaluations!C:C, A172), "Present", "Absent"), "")
</f>
        <v>Absent</v>
      </c>
      <c r="G172" s="20" t="str">
        <f>IFERROR(VLOOKUP(A172, SoftSkills_Evaluations!C:L, 8, FALSE), "")</f>
        <v/>
      </c>
      <c r="H172" s="20" t="str">
        <f>IFERROR(VLOOKUP(A172, Technical_Evaluations!C:L, 7, FALSE), "")
</f>
        <v/>
      </c>
      <c r="I172" s="20">
        <f>IFERROR(VLOOKUP(A172, 'GD Evaluations'!A:G, 7, FALSE), "")</f>
        <v>80</v>
      </c>
      <c r="J172" s="20">
        <f t="shared" si="1"/>
        <v>26.66666667</v>
      </c>
      <c r="K172" s="20">
        <f t="shared" si="2"/>
        <v>40</v>
      </c>
    </row>
    <row r="173">
      <c r="A173" s="69" t="s">
        <v>128</v>
      </c>
      <c r="B173" s="69" t="s">
        <v>581</v>
      </c>
      <c r="C173" s="69" t="s">
        <v>53</v>
      </c>
      <c r="D173" s="69" t="s">
        <v>39</v>
      </c>
      <c r="E173" s="19" t="str">
        <f>IF(A173&lt;&gt;"", IF(COUNTIF(Technical_Evaluations!C:C, A173), "Present", "Absent"), "")</f>
        <v>Absent</v>
      </c>
      <c r="F173" s="19" t="str">
        <f>IF(A173&lt;&gt;"", IF(COUNTIF(Technical_Evaluations!C:C, A173), "Present", "Absent"), "")
</f>
        <v>Absent</v>
      </c>
      <c r="G173" s="20" t="str">
        <f>IFERROR(VLOOKUP(A173, SoftSkills_Evaluations!C:L, 8, FALSE), "")</f>
        <v/>
      </c>
      <c r="H173" s="20" t="str">
        <f>IFERROR(VLOOKUP(A173, Technical_Evaluations!C:L, 7, FALSE), "")
</f>
        <v/>
      </c>
      <c r="I173" s="20">
        <f>IFERROR(VLOOKUP(A173, 'GD Evaluations'!A:G, 7, FALSE), "")</f>
        <v>82</v>
      </c>
      <c r="J173" s="20">
        <f t="shared" si="1"/>
        <v>27.33333333</v>
      </c>
      <c r="K173" s="20">
        <f t="shared" si="2"/>
        <v>41</v>
      </c>
    </row>
    <row r="174">
      <c r="A174" s="69" t="s">
        <v>718</v>
      </c>
      <c r="B174" s="69" t="s">
        <v>719</v>
      </c>
      <c r="C174" s="69" t="s">
        <v>53</v>
      </c>
      <c r="D174" s="69" t="s">
        <v>39</v>
      </c>
      <c r="E174" s="19" t="str">
        <f>IF(A174&lt;&gt;"", IF(COUNTIF(Technical_Evaluations!C:C, A174), "Present", "Absent"), "")</f>
        <v>Absent</v>
      </c>
      <c r="F174" s="19" t="str">
        <f>IF(A174&lt;&gt;"", IF(COUNTIF(Technical_Evaluations!C:C, A174), "Present", "Absent"), "")
</f>
        <v>Absent</v>
      </c>
      <c r="G174" s="20" t="str">
        <f>IFERROR(VLOOKUP(A174, SoftSkills_Evaluations!C:L, 8, FALSE), "")</f>
        <v/>
      </c>
      <c r="H174" s="20" t="str">
        <f>IFERROR(VLOOKUP(A174, Technical_Evaluations!C:L, 7, FALSE), "")
</f>
        <v/>
      </c>
      <c r="I174" s="20" t="str">
        <f>IFERROR(VLOOKUP(A174, 'GD Evaluations'!A:G, 7, FALSE), "")</f>
        <v/>
      </c>
      <c r="J174" s="20">
        <f t="shared" si="1"/>
        <v>0</v>
      </c>
      <c r="K174" s="20">
        <f t="shared" si="2"/>
        <v>0</v>
      </c>
    </row>
    <row r="175">
      <c r="A175" s="69" t="s">
        <v>720</v>
      </c>
      <c r="B175" s="69" t="s">
        <v>721</v>
      </c>
      <c r="C175" s="69" t="s">
        <v>53</v>
      </c>
      <c r="D175" s="69" t="s">
        <v>39</v>
      </c>
      <c r="E175" s="19" t="str">
        <f>IF(A175&lt;&gt;"", IF(COUNTIF(Technical_Evaluations!C:C, A175), "Present", "Absent"), "")</f>
        <v>Absent</v>
      </c>
      <c r="F175" s="19" t="str">
        <f>IF(A175&lt;&gt;"", IF(COUNTIF(Technical_Evaluations!C:C, A175), "Present", "Absent"), "")
</f>
        <v>Absent</v>
      </c>
      <c r="G175" s="20" t="str">
        <f>IFERROR(VLOOKUP(A175, SoftSkills_Evaluations!C:L, 8, FALSE), "")</f>
        <v/>
      </c>
      <c r="H175" s="20" t="str">
        <f>IFERROR(VLOOKUP(A175, Technical_Evaluations!C:L, 7, FALSE), "")
</f>
        <v/>
      </c>
      <c r="I175" s="20" t="str">
        <f>IFERROR(VLOOKUP(A175, 'GD Evaluations'!A:G, 7, FALSE), "")</f>
        <v/>
      </c>
      <c r="J175" s="20">
        <f t="shared" si="1"/>
        <v>0</v>
      </c>
      <c r="K175" s="20">
        <f t="shared" si="2"/>
        <v>0</v>
      </c>
    </row>
    <row r="176">
      <c r="A176" s="69" t="s">
        <v>722</v>
      </c>
      <c r="B176" s="69" t="s">
        <v>723</v>
      </c>
      <c r="C176" s="69" t="s">
        <v>53</v>
      </c>
      <c r="D176" s="69" t="s">
        <v>39</v>
      </c>
      <c r="E176" s="19" t="str">
        <f>IF(A176&lt;&gt;"", IF(COUNTIF(Technical_Evaluations!C:C, A176), "Present", "Absent"), "")</f>
        <v>Absent</v>
      </c>
      <c r="F176" s="19" t="str">
        <f>IF(A176&lt;&gt;"", IF(COUNTIF(Technical_Evaluations!C:C, A176), "Present", "Absent"), "")
</f>
        <v>Absent</v>
      </c>
      <c r="G176" s="20" t="str">
        <f>IFERROR(VLOOKUP(A176, SoftSkills_Evaluations!C:L, 8, FALSE), "")</f>
        <v/>
      </c>
      <c r="H176" s="20" t="str">
        <f>IFERROR(VLOOKUP(A176, Technical_Evaluations!C:L, 7, FALSE), "")
</f>
        <v/>
      </c>
      <c r="I176" s="20" t="str">
        <f>IFERROR(VLOOKUP(A176, 'GD Evaluations'!A:G, 7, FALSE), "")</f>
        <v/>
      </c>
      <c r="J176" s="20">
        <f t="shared" si="1"/>
        <v>0</v>
      </c>
      <c r="K176" s="20">
        <f t="shared" si="2"/>
        <v>0</v>
      </c>
    </row>
    <row r="177">
      <c r="A177" s="69" t="s">
        <v>72</v>
      </c>
      <c r="B177" s="69" t="s">
        <v>567</v>
      </c>
      <c r="C177" s="69" t="s">
        <v>53</v>
      </c>
      <c r="D177" s="69" t="s">
        <v>39</v>
      </c>
      <c r="E177" s="19" t="str">
        <f>IF(A177&lt;&gt;"", IF(COUNTIF(Technical_Evaluations!C:C, A177), "Present", "Absent"), "")</f>
        <v>Absent</v>
      </c>
      <c r="F177" s="19" t="str">
        <f>IF(A177&lt;&gt;"", IF(COUNTIF(Technical_Evaluations!C:C, A177), "Present", "Absent"), "")
</f>
        <v>Absent</v>
      </c>
      <c r="G177" s="20" t="str">
        <f>IFERROR(VLOOKUP(A177, SoftSkills_Evaluations!C:L, 8, FALSE), "")</f>
        <v/>
      </c>
      <c r="H177" s="20" t="str">
        <f>IFERROR(VLOOKUP(A177, Technical_Evaluations!C:L, 7, FALSE), "")
</f>
        <v/>
      </c>
      <c r="I177" s="20">
        <f>IFERROR(VLOOKUP(A177, 'GD Evaluations'!A:G, 7, FALSE), "")</f>
        <v>99</v>
      </c>
      <c r="J177" s="20">
        <f t="shared" si="1"/>
        <v>33</v>
      </c>
      <c r="K177" s="20">
        <f t="shared" si="2"/>
        <v>49.5</v>
      </c>
    </row>
    <row r="178">
      <c r="A178" s="69" t="s">
        <v>724</v>
      </c>
      <c r="B178" s="69" t="s">
        <v>725</v>
      </c>
      <c r="C178" s="69" t="s">
        <v>53</v>
      </c>
      <c r="D178" s="69" t="s">
        <v>39</v>
      </c>
      <c r="E178" s="19" t="str">
        <f>IF(A178&lt;&gt;"", IF(COUNTIF(Technical_Evaluations!C:C, A178), "Present", "Absent"), "")</f>
        <v>Absent</v>
      </c>
      <c r="F178" s="19" t="str">
        <f>IF(A178&lt;&gt;"", IF(COUNTIF(Technical_Evaluations!C:C, A178), "Present", "Absent"), "")
</f>
        <v>Absent</v>
      </c>
      <c r="G178" s="20" t="str">
        <f>IFERROR(VLOOKUP(A178, SoftSkills_Evaluations!C:L, 8, FALSE), "")</f>
        <v/>
      </c>
      <c r="H178" s="20" t="str">
        <f>IFERROR(VLOOKUP(A178, Technical_Evaluations!C:L, 7, FALSE), "")
</f>
        <v/>
      </c>
      <c r="I178" s="20" t="str">
        <f>IFERROR(VLOOKUP(A178, 'GD Evaluations'!A:G, 7, FALSE), "")</f>
        <v/>
      </c>
      <c r="J178" s="20">
        <f t="shared" si="1"/>
        <v>0</v>
      </c>
      <c r="K178" s="20">
        <f t="shared" si="2"/>
        <v>0</v>
      </c>
    </row>
    <row r="179">
      <c r="A179" s="69" t="s">
        <v>221</v>
      </c>
      <c r="B179" s="69" t="s">
        <v>590</v>
      </c>
      <c r="C179" s="69" t="s">
        <v>53</v>
      </c>
      <c r="D179" s="69" t="s">
        <v>39</v>
      </c>
      <c r="E179" s="19" t="str">
        <f>IF(A179&lt;&gt;"", IF(COUNTIF(Technical_Evaluations!C:C, A179), "Present", "Absent"), "")</f>
        <v>Absent</v>
      </c>
      <c r="F179" s="19" t="str">
        <f>IF(A179&lt;&gt;"", IF(COUNTIF(Technical_Evaluations!C:C, A179), "Present", "Absent"), "")
</f>
        <v>Absent</v>
      </c>
      <c r="G179" s="20" t="str">
        <f>IFERROR(VLOOKUP(A179, SoftSkills_Evaluations!C:L, 8, FALSE), "")</f>
        <v/>
      </c>
      <c r="H179" s="20" t="str">
        <f>IFERROR(VLOOKUP(A179, Technical_Evaluations!C:L, 7, FALSE), "")
</f>
        <v/>
      </c>
      <c r="I179" s="20">
        <f>IFERROR(VLOOKUP(A179, 'GD Evaluations'!A:G, 7, FALSE), "")</f>
        <v>71</v>
      </c>
      <c r="J179" s="20">
        <f t="shared" si="1"/>
        <v>23.66666667</v>
      </c>
      <c r="K179" s="20">
        <f t="shared" si="2"/>
        <v>35.5</v>
      </c>
    </row>
    <row r="180">
      <c r="A180" s="69" t="s">
        <v>726</v>
      </c>
      <c r="B180" s="69" t="s">
        <v>727</v>
      </c>
      <c r="C180" s="69" t="s">
        <v>53</v>
      </c>
      <c r="D180" s="69" t="s">
        <v>39</v>
      </c>
      <c r="E180" s="19" t="str">
        <f>IF(A180&lt;&gt;"", IF(COUNTIF(Technical_Evaluations!C:C, A180), "Present", "Absent"), "")</f>
        <v>Absent</v>
      </c>
      <c r="F180" s="19" t="str">
        <f>IF(A180&lt;&gt;"", IF(COUNTIF(Technical_Evaluations!C:C, A180), "Present", "Absent"), "")
</f>
        <v>Absent</v>
      </c>
      <c r="G180" s="20" t="str">
        <f>IFERROR(VLOOKUP(A180, SoftSkills_Evaluations!C:L, 8, FALSE), "")</f>
        <v/>
      </c>
      <c r="H180" s="20" t="str">
        <f>IFERROR(VLOOKUP(A180, Technical_Evaluations!C:L, 7, FALSE), "")
</f>
        <v/>
      </c>
      <c r="I180" s="20" t="str">
        <f>IFERROR(VLOOKUP(A180, 'GD Evaluations'!A:G, 7, FALSE), "")</f>
        <v/>
      </c>
      <c r="J180" s="20">
        <f t="shared" si="1"/>
        <v>0</v>
      </c>
      <c r="K180" s="20">
        <f t="shared" si="2"/>
        <v>0</v>
      </c>
    </row>
    <row r="181">
      <c r="A181" s="69" t="s">
        <v>728</v>
      </c>
      <c r="B181" s="69" t="s">
        <v>729</v>
      </c>
      <c r="C181" s="69" t="s">
        <v>53</v>
      </c>
      <c r="D181" s="69" t="s">
        <v>39</v>
      </c>
      <c r="E181" s="19" t="str">
        <f>IF(A181&lt;&gt;"", IF(COUNTIF(Technical_Evaluations!C:C, A181), "Present", "Absent"), "")</f>
        <v>Absent</v>
      </c>
      <c r="F181" s="19" t="str">
        <f>IF(A181&lt;&gt;"", IF(COUNTIF(Technical_Evaluations!C:C, A181), "Present", "Absent"), "")
</f>
        <v>Absent</v>
      </c>
      <c r="G181" s="20" t="str">
        <f>IFERROR(VLOOKUP(A181, SoftSkills_Evaluations!C:L, 8, FALSE), "")</f>
        <v/>
      </c>
      <c r="H181" s="20" t="str">
        <f>IFERROR(VLOOKUP(A181, Technical_Evaluations!C:L, 7, FALSE), "")
</f>
        <v/>
      </c>
      <c r="I181" s="20" t="str">
        <f>IFERROR(VLOOKUP(A181, 'GD Evaluations'!A:G, 7, FALSE), "")</f>
        <v/>
      </c>
      <c r="J181" s="20">
        <f t="shared" si="1"/>
        <v>0</v>
      </c>
      <c r="K181" s="20">
        <f t="shared" si="2"/>
        <v>0</v>
      </c>
    </row>
    <row r="182">
      <c r="A182" s="69" t="s">
        <v>587</v>
      </c>
      <c r="B182" s="69" t="s">
        <v>588</v>
      </c>
      <c r="C182" s="69" t="s">
        <v>53</v>
      </c>
      <c r="D182" s="69" t="s">
        <v>39</v>
      </c>
      <c r="E182" s="19" t="str">
        <f>IF(A182&lt;&gt;"", IF(COUNTIF(Technical_Evaluations!C:C, A182), "Present", "Absent"), "")</f>
        <v>Absent</v>
      </c>
      <c r="F182" s="19" t="str">
        <f>IF(A182&lt;&gt;"", IF(COUNTIF(Technical_Evaluations!C:C, A182), "Present", "Absent"), "")
</f>
        <v>Absent</v>
      </c>
      <c r="G182" s="20" t="str">
        <f>IFERROR(VLOOKUP(A182, SoftSkills_Evaluations!C:L, 8, FALSE), "")</f>
        <v/>
      </c>
      <c r="H182" s="20" t="str">
        <f>IFERROR(VLOOKUP(A182, Technical_Evaluations!C:L, 7, FALSE), "")
</f>
        <v/>
      </c>
      <c r="I182" s="20">
        <f>IFERROR(VLOOKUP(A182, 'GD Evaluations'!A:G, 7, FALSE), "")</f>
        <v>78</v>
      </c>
      <c r="J182" s="20">
        <f t="shared" si="1"/>
        <v>26</v>
      </c>
      <c r="K182" s="20">
        <f t="shared" si="2"/>
        <v>39</v>
      </c>
    </row>
    <row r="183">
      <c r="A183" s="69" t="s">
        <v>730</v>
      </c>
      <c r="B183" s="69" t="s">
        <v>731</v>
      </c>
      <c r="C183" s="69" t="s">
        <v>53</v>
      </c>
      <c r="D183" s="69" t="s">
        <v>39</v>
      </c>
      <c r="E183" s="19" t="str">
        <f>IF(A183&lt;&gt;"", IF(COUNTIF(Technical_Evaluations!C:C, A183), "Present", "Absent"), "")</f>
        <v>Absent</v>
      </c>
      <c r="F183" s="19" t="str">
        <f>IF(A183&lt;&gt;"", IF(COUNTIF(Technical_Evaluations!C:C, A183), "Present", "Absent"), "")
</f>
        <v>Absent</v>
      </c>
      <c r="G183" s="20" t="str">
        <f>IFERROR(VLOOKUP(A183, SoftSkills_Evaluations!C:L, 8, FALSE), "")</f>
        <v/>
      </c>
      <c r="H183" s="20" t="str">
        <f>IFERROR(VLOOKUP(A183, Technical_Evaluations!C:L, 7, FALSE), "")
</f>
        <v/>
      </c>
      <c r="I183" s="20" t="str">
        <f>IFERROR(VLOOKUP(A183, 'GD Evaluations'!A:G, 7, FALSE), "")</f>
        <v/>
      </c>
      <c r="J183" s="20">
        <f t="shared" si="1"/>
        <v>0</v>
      </c>
      <c r="K183" s="20">
        <f t="shared" si="2"/>
        <v>0</v>
      </c>
    </row>
    <row r="184">
      <c r="A184" s="69" t="s">
        <v>324</v>
      </c>
      <c r="B184" s="69" t="s">
        <v>529</v>
      </c>
      <c r="C184" s="69" t="s">
        <v>53</v>
      </c>
      <c r="D184" s="69" t="s">
        <v>39</v>
      </c>
      <c r="E184" s="19" t="str">
        <f>IF(A184&lt;&gt;"", IF(COUNTIF(Technical_Evaluations!C:C, A184), "Present", "Absent"), "")</f>
        <v>Present</v>
      </c>
      <c r="F184" s="19" t="str">
        <f>IF(A184&lt;&gt;"", IF(COUNTIF(Technical_Evaluations!C:C, A184), "Present", "Absent"), "")
</f>
        <v>Present</v>
      </c>
      <c r="G184" s="20" t="str">
        <f>IFERROR(VLOOKUP(A184, SoftSkills_Evaluations!C:L, 8, FALSE), "")</f>
        <v/>
      </c>
      <c r="H184" s="20">
        <f>IFERROR(VLOOKUP(A184, Technical_Evaluations!C:L, 7, FALSE), "")
</f>
        <v>94.2</v>
      </c>
      <c r="I184" s="20" t="str">
        <f>IFERROR(VLOOKUP(A184, 'GD Evaluations'!A:G, 7, FALSE), "")</f>
        <v/>
      </c>
      <c r="J184" s="20">
        <f t="shared" si="1"/>
        <v>31.4</v>
      </c>
      <c r="K184" s="20">
        <f t="shared" si="2"/>
        <v>0</v>
      </c>
    </row>
    <row r="185">
      <c r="A185" s="69" t="s">
        <v>265</v>
      </c>
      <c r="B185" s="69" t="s">
        <v>521</v>
      </c>
      <c r="C185" s="69" t="s">
        <v>53</v>
      </c>
      <c r="D185" s="69" t="s">
        <v>39</v>
      </c>
      <c r="E185" s="19" t="str">
        <f>IF(A185&lt;&gt;"", IF(COUNTIF(Technical_Evaluations!C:C, A185), "Present", "Absent"), "")</f>
        <v>Present</v>
      </c>
      <c r="F185" s="19" t="str">
        <f>IF(A185&lt;&gt;"", IF(COUNTIF(Technical_Evaluations!C:C, A185), "Present", "Absent"), "")
</f>
        <v>Present</v>
      </c>
      <c r="G185" s="20" t="str">
        <f>IFERROR(VLOOKUP(A185, SoftSkills_Evaluations!C:L, 8, FALSE), "")</f>
        <v/>
      </c>
      <c r="H185" s="20">
        <f>IFERROR(VLOOKUP(A185, Technical_Evaluations!C:L, 7, FALSE), "")
</f>
        <v>65.8</v>
      </c>
      <c r="I185" s="20">
        <f>IFERROR(VLOOKUP(A185, 'GD Evaluations'!A:G, 7, FALSE), "")</f>
        <v>84</v>
      </c>
      <c r="J185" s="20">
        <f t="shared" si="1"/>
        <v>49.93333333</v>
      </c>
      <c r="K185" s="20">
        <f t="shared" si="2"/>
        <v>42</v>
      </c>
    </row>
    <row r="186">
      <c r="A186" s="69" t="s">
        <v>732</v>
      </c>
      <c r="B186" s="69" t="s">
        <v>733</v>
      </c>
      <c r="C186" s="69" t="s">
        <v>53</v>
      </c>
      <c r="D186" s="69" t="s">
        <v>39</v>
      </c>
      <c r="E186" s="19" t="str">
        <f>IF(A186&lt;&gt;"", IF(COUNTIF(Technical_Evaluations!C:C, A186), "Present", "Absent"), "")</f>
        <v>Absent</v>
      </c>
      <c r="F186" s="19" t="str">
        <f>IF(A186&lt;&gt;"", IF(COUNTIF(Technical_Evaluations!C:C, A186), "Present", "Absent"), "")
</f>
        <v>Absent</v>
      </c>
      <c r="G186" s="20" t="str">
        <f>IFERROR(VLOOKUP(A186, SoftSkills_Evaluations!C:L, 8, FALSE), "")</f>
        <v/>
      </c>
      <c r="H186" s="20" t="str">
        <f>IFERROR(VLOOKUP(A186, Technical_Evaluations!C:L, 7, FALSE), "")
</f>
        <v/>
      </c>
      <c r="I186" s="20" t="str">
        <f>IFERROR(VLOOKUP(A186, 'GD Evaluations'!A:G, 7, FALSE), "")</f>
        <v/>
      </c>
      <c r="J186" s="20">
        <f t="shared" si="1"/>
        <v>0</v>
      </c>
      <c r="K186" s="20">
        <f t="shared" si="2"/>
        <v>0</v>
      </c>
    </row>
    <row r="187">
      <c r="A187" s="69" t="s">
        <v>734</v>
      </c>
      <c r="B187" s="69" t="s">
        <v>735</v>
      </c>
      <c r="C187" s="69" t="s">
        <v>53</v>
      </c>
      <c r="D187" s="69" t="s">
        <v>39</v>
      </c>
      <c r="E187" s="19" t="str">
        <f>IF(A187&lt;&gt;"", IF(COUNTIF(Technical_Evaluations!C:C, A187), "Present", "Absent"), "")</f>
        <v>Absent</v>
      </c>
      <c r="F187" s="19" t="str">
        <f>IF(A187&lt;&gt;"", IF(COUNTIF(Technical_Evaluations!C:C, A187), "Present", "Absent"), "")
</f>
        <v>Absent</v>
      </c>
      <c r="G187" s="20" t="str">
        <f>IFERROR(VLOOKUP(A187, SoftSkills_Evaluations!C:L, 8, FALSE), "")</f>
        <v/>
      </c>
      <c r="H187" s="20" t="str">
        <f>IFERROR(VLOOKUP(A187, Technical_Evaluations!C:L, 7, FALSE), "")
</f>
        <v/>
      </c>
      <c r="I187" s="20" t="str">
        <f>IFERROR(VLOOKUP(A187, 'GD Evaluations'!A:G, 7, FALSE), "")</f>
        <v/>
      </c>
      <c r="J187" s="20">
        <f t="shared" si="1"/>
        <v>0</v>
      </c>
      <c r="K187" s="20">
        <f t="shared" si="2"/>
        <v>0</v>
      </c>
    </row>
    <row r="188">
      <c r="A188" s="69" t="s">
        <v>30</v>
      </c>
      <c r="B188" s="69" t="s">
        <v>580</v>
      </c>
      <c r="C188" s="69" t="s">
        <v>53</v>
      </c>
      <c r="D188" s="69" t="s">
        <v>39</v>
      </c>
      <c r="E188" s="19" t="str">
        <f>IF(A188&lt;&gt;"", IF(COUNTIF(Technical_Evaluations!C:C, A188), "Present", "Absent"), "")</f>
        <v>Absent</v>
      </c>
      <c r="F188" s="19" t="str">
        <f>IF(A188&lt;&gt;"", IF(COUNTIF(Technical_Evaluations!C:C, A188), "Present", "Absent"), "")
</f>
        <v>Absent</v>
      </c>
      <c r="G188" s="20" t="str">
        <f>IFERROR(VLOOKUP(A188, SoftSkills_Evaluations!C:L, 8, FALSE), "")</f>
        <v/>
      </c>
      <c r="H188" s="20" t="str">
        <f>IFERROR(VLOOKUP(A188, Technical_Evaluations!C:L, 7, FALSE), "")
</f>
        <v/>
      </c>
      <c r="I188" s="20">
        <f>IFERROR(VLOOKUP(A188, 'GD Evaluations'!A:G, 7, FALSE), "")</f>
        <v>84</v>
      </c>
      <c r="J188" s="20">
        <f t="shared" si="1"/>
        <v>28</v>
      </c>
      <c r="K188" s="20">
        <f t="shared" si="2"/>
        <v>42</v>
      </c>
    </row>
    <row r="189">
      <c r="A189" s="69" t="s">
        <v>736</v>
      </c>
      <c r="B189" s="69" t="s">
        <v>737</v>
      </c>
      <c r="C189" s="69" t="s">
        <v>53</v>
      </c>
      <c r="D189" s="69" t="s">
        <v>39</v>
      </c>
      <c r="E189" s="19" t="str">
        <f>IF(A189&lt;&gt;"", IF(COUNTIF(Technical_Evaluations!C:C, A189), "Present", "Absent"), "")</f>
        <v>Absent</v>
      </c>
      <c r="F189" s="19" t="str">
        <f>IF(A189&lt;&gt;"", IF(COUNTIF(Technical_Evaluations!C:C, A189), "Present", "Absent"), "")
</f>
        <v>Absent</v>
      </c>
      <c r="G189" s="20" t="str">
        <f>IFERROR(VLOOKUP(A189, SoftSkills_Evaluations!C:L, 8, FALSE), "")</f>
        <v/>
      </c>
      <c r="H189" s="20" t="str">
        <f>IFERROR(VLOOKUP(A189, Technical_Evaluations!C:L, 7, FALSE), "")
</f>
        <v/>
      </c>
      <c r="I189" s="20" t="str">
        <f>IFERROR(VLOOKUP(A189, 'GD Evaluations'!A:G, 7, FALSE), "")</f>
        <v/>
      </c>
      <c r="J189" s="20">
        <f t="shared" si="1"/>
        <v>0</v>
      </c>
      <c r="K189" s="20">
        <f t="shared" si="2"/>
        <v>0</v>
      </c>
    </row>
    <row r="190">
      <c r="A190" s="69" t="s">
        <v>738</v>
      </c>
      <c r="B190" s="69" t="s">
        <v>739</v>
      </c>
      <c r="C190" s="69" t="s">
        <v>53</v>
      </c>
      <c r="D190" s="69" t="s">
        <v>39</v>
      </c>
      <c r="E190" s="19" t="str">
        <f>IF(A190&lt;&gt;"", IF(COUNTIF(Technical_Evaluations!C:C, A190), "Present", "Absent"), "")</f>
        <v>Absent</v>
      </c>
      <c r="F190" s="19" t="str">
        <f>IF(A190&lt;&gt;"", IF(COUNTIF(Technical_Evaluations!C:C, A190), "Present", "Absent"), "")
</f>
        <v>Absent</v>
      </c>
      <c r="G190" s="20" t="str">
        <f>IFERROR(VLOOKUP(A190, SoftSkills_Evaluations!C:L, 8, FALSE), "")</f>
        <v/>
      </c>
      <c r="H190" s="20" t="str">
        <f>IFERROR(VLOOKUP(A190, Technical_Evaluations!C:L, 7, FALSE), "")
</f>
        <v/>
      </c>
      <c r="I190" s="20" t="str">
        <f>IFERROR(VLOOKUP(A190, 'GD Evaluations'!A:G, 7, FALSE), "")</f>
        <v/>
      </c>
      <c r="J190" s="20">
        <f t="shared" si="1"/>
        <v>0</v>
      </c>
      <c r="K190" s="20">
        <f t="shared" si="2"/>
        <v>0</v>
      </c>
    </row>
    <row r="191">
      <c r="A191" s="69" t="s">
        <v>740</v>
      </c>
      <c r="B191" s="69" t="s">
        <v>741</v>
      </c>
      <c r="C191" s="69" t="s">
        <v>53</v>
      </c>
      <c r="D191" s="69" t="s">
        <v>39</v>
      </c>
      <c r="E191" s="19" t="str">
        <f>IF(A191&lt;&gt;"", IF(COUNTIF(Technical_Evaluations!C:C, A191), "Present", "Absent"), "")</f>
        <v>Absent</v>
      </c>
      <c r="F191" s="19" t="str">
        <f>IF(A191&lt;&gt;"", IF(COUNTIF(Technical_Evaluations!C:C, A191), "Present", "Absent"), "")
</f>
        <v>Absent</v>
      </c>
      <c r="G191" s="20" t="str">
        <f>IFERROR(VLOOKUP(A191, SoftSkills_Evaluations!C:L, 8, FALSE), "")</f>
        <v/>
      </c>
      <c r="H191" s="20" t="str">
        <f>IFERROR(VLOOKUP(A191, Technical_Evaluations!C:L, 7, FALSE), "")
</f>
        <v/>
      </c>
      <c r="I191" s="20" t="str">
        <f>IFERROR(VLOOKUP(A191, 'GD Evaluations'!A:G, 7, FALSE), "")</f>
        <v/>
      </c>
      <c r="J191" s="20">
        <f t="shared" si="1"/>
        <v>0</v>
      </c>
      <c r="K191" s="20">
        <f t="shared" si="2"/>
        <v>0</v>
      </c>
    </row>
    <row r="192">
      <c r="A192" s="69" t="s">
        <v>134</v>
      </c>
      <c r="B192" s="69" t="s">
        <v>586</v>
      </c>
      <c r="C192" s="69" t="s">
        <v>53</v>
      </c>
      <c r="D192" s="69" t="s">
        <v>39</v>
      </c>
      <c r="E192" s="19" t="str">
        <f>IF(A192&lt;&gt;"", IF(COUNTIF(Technical_Evaluations!C:C, A192), "Present", "Absent"), "")</f>
        <v>Absent</v>
      </c>
      <c r="F192" s="19" t="str">
        <f>IF(A192&lt;&gt;"", IF(COUNTIF(Technical_Evaluations!C:C, A192), "Present", "Absent"), "")
</f>
        <v>Absent</v>
      </c>
      <c r="G192" s="20" t="str">
        <f>IFERROR(VLOOKUP(A192, SoftSkills_Evaluations!C:L, 8, FALSE), "")</f>
        <v/>
      </c>
      <c r="H192" s="20" t="str">
        <f>IFERROR(VLOOKUP(A192, Technical_Evaluations!C:L, 7, FALSE), "")
</f>
        <v/>
      </c>
      <c r="I192" s="20">
        <f>IFERROR(VLOOKUP(A192, 'GD Evaluations'!A:G, 7, FALSE), "")</f>
        <v>79</v>
      </c>
      <c r="J192" s="20">
        <f t="shared" si="1"/>
        <v>26.33333333</v>
      </c>
      <c r="K192" s="20">
        <f t="shared" si="2"/>
        <v>39.5</v>
      </c>
    </row>
    <row r="193">
      <c r="A193" s="69" t="s">
        <v>742</v>
      </c>
      <c r="B193" s="69" t="s">
        <v>743</v>
      </c>
      <c r="C193" s="69" t="s">
        <v>53</v>
      </c>
      <c r="D193" s="69" t="s">
        <v>39</v>
      </c>
      <c r="E193" s="19" t="str">
        <f>IF(A193&lt;&gt;"", IF(COUNTIF(Technical_Evaluations!C:C, A193), "Present", "Absent"), "")</f>
        <v>Absent</v>
      </c>
      <c r="F193" s="19" t="str">
        <f>IF(A193&lt;&gt;"", IF(COUNTIF(Technical_Evaluations!C:C, A193), "Present", "Absent"), "")
</f>
        <v>Absent</v>
      </c>
      <c r="G193" s="20" t="str">
        <f>IFERROR(VLOOKUP(A193, SoftSkills_Evaluations!C:L, 8, FALSE), "")</f>
        <v/>
      </c>
      <c r="H193" s="20" t="str">
        <f>IFERROR(VLOOKUP(A193, Technical_Evaluations!C:L, 7, FALSE), "")
</f>
        <v/>
      </c>
      <c r="I193" s="20" t="str">
        <f>IFERROR(VLOOKUP(A193, 'GD Evaluations'!A:G, 7, FALSE), "")</f>
        <v/>
      </c>
      <c r="J193" s="20">
        <f t="shared" si="1"/>
        <v>0</v>
      </c>
      <c r="K193" s="20">
        <f t="shared" si="2"/>
        <v>0</v>
      </c>
    </row>
    <row r="194">
      <c r="A194" s="69" t="s">
        <v>744</v>
      </c>
      <c r="B194" s="69" t="s">
        <v>745</v>
      </c>
      <c r="C194" s="69" t="s">
        <v>53</v>
      </c>
      <c r="D194" s="69" t="s">
        <v>39</v>
      </c>
      <c r="E194" s="19" t="str">
        <f>IF(A194&lt;&gt;"", IF(COUNTIF(Technical_Evaluations!C:C, A194), "Present", "Absent"), "")</f>
        <v>Absent</v>
      </c>
      <c r="F194" s="19" t="str">
        <f>IF(A194&lt;&gt;"", IF(COUNTIF(Technical_Evaluations!C:C, A194), "Present", "Absent"), "")
</f>
        <v>Absent</v>
      </c>
      <c r="G194" s="20" t="str">
        <f>IFERROR(VLOOKUP(A194, SoftSkills_Evaluations!C:L, 8, FALSE), "")</f>
        <v/>
      </c>
      <c r="H194" s="20" t="str">
        <f>IFERROR(VLOOKUP(A194, Technical_Evaluations!C:L, 7, FALSE), "")
</f>
        <v/>
      </c>
      <c r="I194" s="20" t="str">
        <f>IFERROR(VLOOKUP(A194, 'GD Evaluations'!A:G, 7, FALSE), "")</f>
        <v/>
      </c>
      <c r="J194" s="20">
        <f t="shared" si="1"/>
        <v>0</v>
      </c>
      <c r="K194" s="20">
        <f t="shared" si="2"/>
        <v>0</v>
      </c>
    </row>
    <row r="195">
      <c r="A195" s="69" t="s">
        <v>746</v>
      </c>
      <c r="B195" s="69" t="s">
        <v>747</v>
      </c>
      <c r="C195" s="69" t="s">
        <v>53</v>
      </c>
      <c r="D195" s="69" t="s">
        <v>39</v>
      </c>
      <c r="E195" s="19" t="str">
        <f>IF(A195&lt;&gt;"", IF(COUNTIF(Technical_Evaluations!C:C, A195), "Present", "Absent"), "")</f>
        <v>Absent</v>
      </c>
      <c r="F195" s="19" t="str">
        <f>IF(A195&lt;&gt;"", IF(COUNTIF(Technical_Evaluations!C:C, A195), "Present", "Absent"), "")
</f>
        <v>Absent</v>
      </c>
      <c r="G195" s="20" t="str">
        <f>IFERROR(VLOOKUP(A195, SoftSkills_Evaluations!C:L, 8, FALSE), "")</f>
        <v/>
      </c>
      <c r="H195" s="20" t="str">
        <f>IFERROR(VLOOKUP(A195, Technical_Evaluations!C:L, 7, FALSE), "")
</f>
        <v/>
      </c>
      <c r="I195" s="20" t="str">
        <f>IFERROR(VLOOKUP(A195, 'GD Evaluations'!A:G, 7, FALSE), "")</f>
        <v/>
      </c>
      <c r="J195" s="20">
        <f t="shared" si="1"/>
        <v>0</v>
      </c>
      <c r="K195" s="20">
        <f t="shared" si="2"/>
        <v>0</v>
      </c>
    </row>
    <row r="196">
      <c r="A196" s="69" t="s">
        <v>748</v>
      </c>
      <c r="B196" s="69" t="s">
        <v>749</v>
      </c>
      <c r="C196" s="69" t="s">
        <v>53</v>
      </c>
      <c r="D196" s="69" t="s">
        <v>39</v>
      </c>
      <c r="E196" s="19" t="str">
        <f>IF(A196&lt;&gt;"", IF(COUNTIF(Technical_Evaluations!C:C, A196), "Present", "Absent"), "")</f>
        <v>Absent</v>
      </c>
      <c r="F196" s="19" t="str">
        <f>IF(A196&lt;&gt;"", IF(COUNTIF(Technical_Evaluations!C:C, A196), "Present", "Absent"), "")
</f>
        <v>Absent</v>
      </c>
      <c r="G196" s="20" t="str">
        <f>IFERROR(VLOOKUP(A196, SoftSkills_Evaluations!C:L, 8, FALSE), "")</f>
        <v/>
      </c>
      <c r="H196" s="20" t="str">
        <f>IFERROR(VLOOKUP(A196, Technical_Evaluations!C:L, 7, FALSE), "")
</f>
        <v/>
      </c>
      <c r="I196" s="20" t="str">
        <f>IFERROR(VLOOKUP(A196, 'GD Evaluations'!A:G, 7, FALSE), "")</f>
        <v/>
      </c>
      <c r="J196" s="20">
        <f t="shared" si="1"/>
        <v>0</v>
      </c>
      <c r="K196" s="20">
        <f t="shared" si="2"/>
        <v>0</v>
      </c>
    </row>
    <row r="197">
      <c r="A197" s="69" t="s">
        <v>119</v>
      </c>
      <c r="B197" s="69" t="s">
        <v>574</v>
      </c>
      <c r="C197" s="69" t="s">
        <v>53</v>
      </c>
      <c r="D197" s="69" t="s">
        <v>39</v>
      </c>
      <c r="E197" s="19" t="str">
        <f>IF(A197&lt;&gt;"", IF(COUNTIF(Technical_Evaluations!C:C, A197), "Present", "Absent"), "")</f>
        <v>Absent</v>
      </c>
      <c r="F197" s="19" t="str">
        <f>IF(A197&lt;&gt;"", IF(COUNTIF(Technical_Evaluations!C:C, A197), "Present", "Absent"), "")
</f>
        <v>Absent</v>
      </c>
      <c r="G197" s="20" t="str">
        <f>IFERROR(VLOOKUP(A197, SoftSkills_Evaluations!C:L, 8, FALSE), "")</f>
        <v/>
      </c>
      <c r="H197" s="20" t="str">
        <f>IFERROR(VLOOKUP(A197, Technical_Evaluations!C:L, 7, FALSE), "")
</f>
        <v/>
      </c>
      <c r="I197" s="20">
        <f>IFERROR(VLOOKUP(A197, 'GD Evaluations'!A:G, 7, FALSE), "")</f>
        <v>90</v>
      </c>
      <c r="J197" s="20">
        <f t="shared" si="1"/>
        <v>30</v>
      </c>
      <c r="K197" s="20">
        <f t="shared" si="2"/>
        <v>45</v>
      </c>
    </row>
    <row r="198">
      <c r="A198" s="69" t="s">
        <v>170</v>
      </c>
      <c r="B198" s="69" t="s">
        <v>621</v>
      </c>
      <c r="C198" s="69" t="s">
        <v>53</v>
      </c>
      <c r="D198" s="69" t="s">
        <v>39</v>
      </c>
      <c r="E198" s="19" t="str">
        <f>IF(A198&lt;&gt;"", IF(COUNTIF(Technical_Evaluations!C:C, A198), "Present", "Absent"), "")</f>
        <v>Absent</v>
      </c>
      <c r="F198" s="19" t="str">
        <f>IF(A198&lt;&gt;"", IF(COUNTIF(Technical_Evaluations!C:C, A198), "Present", "Absent"), "")
</f>
        <v>Absent</v>
      </c>
      <c r="G198" s="20" t="str">
        <f>IFERROR(VLOOKUP(A198, SoftSkills_Evaluations!C:L, 8, FALSE), "")</f>
        <v/>
      </c>
      <c r="H198" s="20" t="str">
        <f>IFERROR(VLOOKUP(A198, Technical_Evaluations!C:L, 7, FALSE), "")
</f>
        <v/>
      </c>
      <c r="I198" s="20">
        <f>IFERROR(VLOOKUP(A198, 'GD Evaluations'!A:G, 7, FALSE), "")</f>
        <v>41</v>
      </c>
      <c r="J198" s="20">
        <f t="shared" si="1"/>
        <v>13.66666667</v>
      </c>
      <c r="K198" s="20">
        <f t="shared" si="2"/>
        <v>20.5</v>
      </c>
    </row>
    <row r="199">
      <c r="A199" s="69" t="s">
        <v>750</v>
      </c>
      <c r="B199" s="69" t="s">
        <v>751</v>
      </c>
      <c r="C199" s="69" t="s">
        <v>53</v>
      </c>
      <c r="D199" s="69" t="s">
        <v>39</v>
      </c>
      <c r="E199" s="19" t="str">
        <f>IF(A199&lt;&gt;"", IF(COUNTIF(Technical_Evaluations!C:C, A199), "Present", "Absent"), "")</f>
        <v>Absent</v>
      </c>
      <c r="F199" s="19" t="str">
        <f>IF(A199&lt;&gt;"", IF(COUNTIF(Technical_Evaluations!C:C, A199), "Present", "Absent"), "")
</f>
        <v>Absent</v>
      </c>
      <c r="G199" s="20" t="str">
        <f>IFERROR(VLOOKUP(A199, SoftSkills_Evaluations!C:L, 8, FALSE), "")</f>
        <v/>
      </c>
      <c r="H199" s="20" t="str">
        <f>IFERROR(VLOOKUP(A199, Technical_Evaluations!C:L, 7, FALSE), "")
</f>
        <v/>
      </c>
      <c r="I199" s="20" t="str">
        <f>IFERROR(VLOOKUP(A199, 'GD Evaluations'!A:G, 7, FALSE), "")</f>
        <v/>
      </c>
      <c r="J199" s="20">
        <f t="shared" si="1"/>
        <v>0</v>
      </c>
      <c r="K199" s="20">
        <f t="shared" si="2"/>
        <v>0</v>
      </c>
    </row>
    <row r="200">
      <c r="A200" s="69" t="s">
        <v>752</v>
      </c>
      <c r="B200" s="69" t="s">
        <v>753</v>
      </c>
      <c r="C200" s="69" t="s">
        <v>53</v>
      </c>
      <c r="D200" s="69" t="s">
        <v>39</v>
      </c>
      <c r="E200" s="19" t="str">
        <f>IF(A200&lt;&gt;"", IF(COUNTIF(Technical_Evaluations!C:C, A200), "Present", "Absent"), "")</f>
        <v>Absent</v>
      </c>
      <c r="F200" s="19" t="str">
        <f>IF(A200&lt;&gt;"", IF(COUNTIF(Technical_Evaluations!C:C, A200), "Present", "Absent"), "")
</f>
        <v>Absent</v>
      </c>
      <c r="G200" s="20" t="str">
        <f>IFERROR(VLOOKUP(A200, SoftSkills_Evaluations!C:L, 8, FALSE), "")</f>
        <v/>
      </c>
      <c r="H200" s="20" t="str">
        <f>IFERROR(VLOOKUP(A200, Technical_Evaluations!C:L, 7, FALSE), "")
</f>
        <v/>
      </c>
      <c r="I200" s="20" t="str">
        <f>IFERROR(VLOOKUP(A200, 'GD Evaluations'!A:G, 7, FALSE), "")</f>
        <v/>
      </c>
      <c r="J200" s="20">
        <f t="shared" si="1"/>
        <v>0</v>
      </c>
      <c r="K200" s="20">
        <f t="shared" si="2"/>
        <v>0</v>
      </c>
    </row>
    <row r="201">
      <c r="A201" s="69" t="s">
        <v>754</v>
      </c>
      <c r="B201" s="69" t="s">
        <v>755</v>
      </c>
      <c r="C201" s="69" t="s">
        <v>53</v>
      </c>
      <c r="D201" s="69" t="s">
        <v>39</v>
      </c>
      <c r="E201" s="19" t="str">
        <f>IF(A201&lt;&gt;"", IF(COUNTIF(Technical_Evaluations!C:C, A201), "Present", "Absent"), "")</f>
        <v>Absent</v>
      </c>
      <c r="F201" s="19" t="str">
        <f>IF(A201&lt;&gt;"", IF(COUNTIF(Technical_Evaluations!C:C, A201), "Present", "Absent"), "")
</f>
        <v>Absent</v>
      </c>
      <c r="G201" s="20" t="str">
        <f>IFERROR(VLOOKUP(A201, SoftSkills_Evaluations!C:L, 8, FALSE), "")</f>
        <v/>
      </c>
      <c r="H201" s="20" t="str">
        <f>IFERROR(VLOOKUP(A201, Technical_Evaluations!C:L, 7, FALSE), "")
</f>
        <v/>
      </c>
      <c r="I201" s="20" t="str">
        <f>IFERROR(VLOOKUP(A201, 'GD Evaluations'!A:G, 7, FALSE), "")</f>
        <v/>
      </c>
      <c r="J201" s="20">
        <f t="shared" si="1"/>
        <v>0</v>
      </c>
      <c r="K201" s="20">
        <f t="shared" si="2"/>
        <v>0</v>
      </c>
    </row>
    <row r="202">
      <c r="A202" s="69" t="s">
        <v>756</v>
      </c>
      <c r="B202" s="69" t="s">
        <v>757</v>
      </c>
      <c r="C202" s="69" t="s">
        <v>53</v>
      </c>
      <c r="D202" s="69" t="s">
        <v>39</v>
      </c>
      <c r="E202" s="19" t="str">
        <f>IF(A202&lt;&gt;"", IF(COUNTIF(Technical_Evaluations!C:C, A202), "Present", "Absent"), "")</f>
        <v>Absent</v>
      </c>
      <c r="F202" s="19" t="str">
        <f>IF(A202&lt;&gt;"", IF(COUNTIF(Technical_Evaluations!C:C, A202), "Present", "Absent"), "")
</f>
        <v>Absent</v>
      </c>
      <c r="G202" s="20" t="str">
        <f>IFERROR(VLOOKUP(A202, SoftSkills_Evaluations!C:L, 8, FALSE), "")</f>
        <v/>
      </c>
      <c r="H202" s="20" t="str">
        <f>IFERROR(VLOOKUP(A202, Technical_Evaluations!C:L, 7, FALSE), "")
</f>
        <v/>
      </c>
      <c r="I202" s="20" t="str">
        <f>IFERROR(VLOOKUP(A202, 'GD Evaluations'!A:G, 7, FALSE), "")</f>
        <v/>
      </c>
      <c r="J202" s="20">
        <f t="shared" si="1"/>
        <v>0</v>
      </c>
      <c r="K202" s="20">
        <f t="shared" si="2"/>
        <v>0</v>
      </c>
    </row>
    <row r="203">
      <c r="A203" s="69" t="s">
        <v>758</v>
      </c>
      <c r="B203" s="69" t="s">
        <v>759</v>
      </c>
      <c r="C203" s="69" t="s">
        <v>53</v>
      </c>
      <c r="D203" s="69" t="s">
        <v>39</v>
      </c>
      <c r="E203" s="19" t="str">
        <f>IF(A203&lt;&gt;"", IF(COUNTIF(Technical_Evaluations!C:C, A203), "Present", "Absent"), "")</f>
        <v>Absent</v>
      </c>
      <c r="F203" s="19" t="str">
        <f>IF(A203&lt;&gt;"", IF(COUNTIF(Technical_Evaluations!C:C, A203), "Present", "Absent"), "")
</f>
        <v>Absent</v>
      </c>
      <c r="G203" s="20" t="str">
        <f>IFERROR(VLOOKUP(A203, SoftSkills_Evaluations!C:L, 8, FALSE), "")</f>
        <v/>
      </c>
      <c r="H203" s="20" t="str">
        <f>IFERROR(VLOOKUP(A203, Technical_Evaluations!C:L, 7, FALSE), "")
</f>
        <v/>
      </c>
      <c r="I203" s="20" t="str">
        <f>IFERROR(VLOOKUP(A203, 'GD Evaluations'!A:G, 7, FALSE), "")</f>
        <v/>
      </c>
      <c r="J203" s="20">
        <f t="shared" si="1"/>
        <v>0</v>
      </c>
      <c r="K203" s="20">
        <f t="shared" si="2"/>
        <v>0</v>
      </c>
    </row>
    <row r="204">
      <c r="A204" s="69" t="s">
        <v>288</v>
      </c>
      <c r="B204" s="69" t="s">
        <v>618</v>
      </c>
      <c r="C204" s="69" t="s">
        <v>53</v>
      </c>
      <c r="D204" s="69" t="s">
        <v>39</v>
      </c>
      <c r="E204" s="19" t="str">
        <f>IF(A204&lt;&gt;"", IF(COUNTIF(Technical_Evaluations!C:C, A204), "Present", "Absent"), "")</f>
        <v>Absent</v>
      </c>
      <c r="F204" s="19" t="str">
        <f>IF(A204&lt;&gt;"", IF(COUNTIF(Technical_Evaluations!C:C, A204), "Present", "Absent"), "")
</f>
        <v>Absent</v>
      </c>
      <c r="G204" s="20" t="str">
        <f>IFERROR(VLOOKUP(A204, SoftSkills_Evaluations!C:L, 8, FALSE), "")</f>
        <v/>
      </c>
      <c r="H204" s="20" t="str">
        <f>IFERROR(VLOOKUP(A204, Technical_Evaluations!C:L, 7, FALSE), "")
</f>
        <v/>
      </c>
      <c r="I204" s="20">
        <f>IFERROR(VLOOKUP(A204, 'GD Evaluations'!A:G, 7, FALSE), "")</f>
        <v>62</v>
      </c>
      <c r="J204" s="20">
        <f t="shared" si="1"/>
        <v>20.66666667</v>
      </c>
      <c r="K204" s="20">
        <f t="shared" si="2"/>
        <v>31</v>
      </c>
    </row>
    <row r="205">
      <c r="A205" s="69" t="s">
        <v>760</v>
      </c>
      <c r="B205" s="69" t="s">
        <v>761</v>
      </c>
      <c r="C205" s="69" t="s">
        <v>53</v>
      </c>
      <c r="D205" s="69" t="s">
        <v>39</v>
      </c>
      <c r="E205" s="19" t="str">
        <f>IF(A205&lt;&gt;"", IF(COUNTIF(Technical_Evaluations!C:C, A205), "Present", "Absent"), "")</f>
        <v>Absent</v>
      </c>
      <c r="F205" s="19" t="str">
        <f>IF(A205&lt;&gt;"", IF(COUNTIF(Technical_Evaluations!C:C, A205), "Present", "Absent"), "")
</f>
        <v>Absent</v>
      </c>
      <c r="G205" s="20" t="str">
        <f>IFERROR(VLOOKUP(A205, SoftSkills_Evaluations!C:L, 8, FALSE), "")</f>
        <v/>
      </c>
      <c r="H205" s="20" t="str">
        <f>IFERROR(VLOOKUP(A205, Technical_Evaluations!C:L, 7, FALSE), "")
</f>
        <v/>
      </c>
      <c r="I205" s="20" t="str">
        <f>IFERROR(VLOOKUP(A205, 'GD Evaluations'!A:G, 7, FALSE), "")</f>
        <v/>
      </c>
      <c r="J205" s="20">
        <f t="shared" si="1"/>
        <v>0</v>
      </c>
      <c r="K205" s="20">
        <f t="shared" si="2"/>
        <v>0</v>
      </c>
    </row>
    <row r="206">
      <c r="A206" s="69" t="s">
        <v>762</v>
      </c>
      <c r="B206" s="69" t="s">
        <v>763</v>
      </c>
      <c r="C206" s="69" t="s">
        <v>53</v>
      </c>
      <c r="D206" s="69" t="s">
        <v>39</v>
      </c>
      <c r="E206" s="19" t="str">
        <f>IF(A206&lt;&gt;"", IF(COUNTIF(Technical_Evaluations!C:C, A206), "Present", "Absent"), "")</f>
        <v>Absent</v>
      </c>
      <c r="F206" s="19" t="str">
        <f>IF(A206&lt;&gt;"", IF(COUNTIF(Technical_Evaluations!C:C, A206), "Present", "Absent"), "")
</f>
        <v>Absent</v>
      </c>
      <c r="G206" s="20" t="str">
        <f>IFERROR(VLOOKUP(A206, SoftSkills_Evaluations!C:L, 8, FALSE), "")</f>
        <v/>
      </c>
      <c r="H206" s="20" t="str">
        <f>IFERROR(VLOOKUP(A206, Technical_Evaluations!C:L, 7, FALSE), "")
</f>
        <v/>
      </c>
      <c r="I206" s="20" t="str">
        <f>IFERROR(VLOOKUP(A206, 'GD Evaluations'!A:G, 7, FALSE), "")</f>
        <v/>
      </c>
      <c r="J206" s="20">
        <f t="shared" si="1"/>
        <v>0</v>
      </c>
      <c r="K206" s="20">
        <f t="shared" si="2"/>
        <v>0</v>
      </c>
    </row>
    <row r="207">
      <c r="A207" s="69" t="s">
        <v>764</v>
      </c>
      <c r="B207" s="69" t="s">
        <v>765</v>
      </c>
      <c r="C207" s="69" t="s">
        <v>53</v>
      </c>
      <c r="D207" s="69" t="s">
        <v>39</v>
      </c>
      <c r="E207" s="19" t="str">
        <f>IF(A207&lt;&gt;"", IF(COUNTIF(Technical_Evaluations!C:C, A207), "Present", "Absent"), "")</f>
        <v>Absent</v>
      </c>
      <c r="F207" s="19" t="str">
        <f>IF(A207&lt;&gt;"", IF(COUNTIF(Technical_Evaluations!C:C, A207), "Present", "Absent"), "")
</f>
        <v>Absent</v>
      </c>
      <c r="G207" s="20" t="str">
        <f>IFERROR(VLOOKUP(A207, SoftSkills_Evaluations!C:L, 8, FALSE), "")</f>
        <v/>
      </c>
      <c r="H207" s="20" t="str">
        <f>IFERROR(VLOOKUP(A207, Technical_Evaluations!C:L, 7, FALSE), "")
</f>
        <v/>
      </c>
      <c r="I207" s="20" t="str">
        <f>IFERROR(VLOOKUP(A207, 'GD Evaluations'!A:G, 7, FALSE), "")</f>
        <v/>
      </c>
      <c r="J207" s="20">
        <f t="shared" si="1"/>
        <v>0</v>
      </c>
      <c r="K207" s="20">
        <f t="shared" si="2"/>
        <v>0</v>
      </c>
    </row>
    <row r="208">
      <c r="A208" s="69" t="s">
        <v>766</v>
      </c>
      <c r="B208" s="69" t="s">
        <v>767</v>
      </c>
      <c r="C208" s="69" t="s">
        <v>53</v>
      </c>
      <c r="D208" s="69" t="s">
        <v>39</v>
      </c>
      <c r="E208" s="19" t="str">
        <f>IF(A208&lt;&gt;"", IF(COUNTIF(Technical_Evaluations!C:C, A208), "Present", "Absent"), "")</f>
        <v>Absent</v>
      </c>
      <c r="F208" s="19" t="str">
        <f>IF(A208&lt;&gt;"", IF(COUNTIF(Technical_Evaluations!C:C, A208), "Present", "Absent"), "")
</f>
        <v>Absent</v>
      </c>
      <c r="G208" s="20" t="str">
        <f>IFERROR(VLOOKUP(A208, SoftSkills_Evaluations!C:L, 8, FALSE), "")</f>
        <v/>
      </c>
      <c r="H208" s="20" t="str">
        <f>IFERROR(VLOOKUP(A208, Technical_Evaluations!C:L, 7, FALSE), "")
</f>
        <v/>
      </c>
      <c r="I208" s="20" t="str">
        <f>IFERROR(VLOOKUP(A208, 'GD Evaluations'!A:G, 7, FALSE), "")</f>
        <v/>
      </c>
      <c r="J208" s="20">
        <f t="shared" si="1"/>
        <v>0</v>
      </c>
      <c r="K208" s="20">
        <f t="shared" si="2"/>
        <v>0</v>
      </c>
    </row>
    <row r="209">
      <c r="A209" s="69" t="s">
        <v>768</v>
      </c>
      <c r="B209" s="69" t="s">
        <v>769</v>
      </c>
      <c r="C209" s="69" t="s">
        <v>53</v>
      </c>
      <c r="D209" s="69" t="s">
        <v>39</v>
      </c>
      <c r="E209" s="19" t="str">
        <f>IF(A209&lt;&gt;"", IF(COUNTIF(Technical_Evaluations!C:C, A209), "Present", "Absent"), "")</f>
        <v>Absent</v>
      </c>
      <c r="F209" s="19" t="str">
        <f>IF(A209&lt;&gt;"", IF(COUNTIF(Technical_Evaluations!C:C, A209), "Present", "Absent"), "")
</f>
        <v>Absent</v>
      </c>
      <c r="G209" s="20" t="str">
        <f>IFERROR(VLOOKUP(A209, SoftSkills_Evaluations!C:L, 8, FALSE), "")</f>
        <v/>
      </c>
      <c r="H209" s="20" t="str">
        <f>IFERROR(VLOOKUP(A209, Technical_Evaluations!C:L, 7, FALSE), "")
</f>
        <v/>
      </c>
      <c r="I209" s="20" t="str">
        <f>IFERROR(VLOOKUP(A209, 'GD Evaluations'!A:G, 7, FALSE), "")</f>
        <v/>
      </c>
      <c r="J209" s="20">
        <f t="shared" si="1"/>
        <v>0</v>
      </c>
      <c r="K209" s="20">
        <f t="shared" si="2"/>
        <v>0</v>
      </c>
    </row>
    <row r="210">
      <c r="A210" s="69" t="s">
        <v>121</v>
      </c>
      <c r="B210" s="69" t="s">
        <v>599</v>
      </c>
      <c r="C210" s="69" t="s">
        <v>53</v>
      </c>
      <c r="D210" s="69" t="s">
        <v>39</v>
      </c>
      <c r="E210" s="19" t="str">
        <f>IF(A210&lt;&gt;"", IF(COUNTIF(Technical_Evaluations!C:C, A210), "Present", "Absent"), "")</f>
        <v>Absent</v>
      </c>
      <c r="F210" s="19" t="str">
        <f>IF(A210&lt;&gt;"", IF(COUNTIF(Technical_Evaluations!C:C, A210), "Present", "Absent"), "")
</f>
        <v>Absent</v>
      </c>
      <c r="G210" s="20" t="str">
        <f>IFERROR(VLOOKUP(A210, SoftSkills_Evaluations!C:L, 8, FALSE), "")</f>
        <v/>
      </c>
      <c r="H210" s="20" t="str">
        <f>IFERROR(VLOOKUP(A210, Technical_Evaluations!C:L, 7, FALSE), "")
</f>
        <v/>
      </c>
      <c r="I210" s="20">
        <f>IFERROR(VLOOKUP(A210, 'GD Evaluations'!A:G, 7, FALSE), "")</f>
        <v>88</v>
      </c>
      <c r="J210" s="20">
        <f t="shared" si="1"/>
        <v>29.33333333</v>
      </c>
      <c r="K210" s="20">
        <f t="shared" si="2"/>
        <v>44</v>
      </c>
    </row>
    <row r="211">
      <c r="A211" s="69" t="s">
        <v>770</v>
      </c>
      <c r="B211" s="69" t="s">
        <v>771</v>
      </c>
      <c r="C211" s="69" t="s">
        <v>53</v>
      </c>
      <c r="D211" s="69" t="s">
        <v>39</v>
      </c>
      <c r="E211" s="19" t="str">
        <f>IF(A211&lt;&gt;"", IF(COUNTIF(Technical_Evaluations!C:C, A211), "Present", "Absent"), "")</f>
        <v>Absent</v>
      </c>
      <c r="F211" s="19" t="str">
        <f>IF(A211&lt;&gt;"", IF(COUNTIF(Technical_Evaluations!C:C, A211), "Present", "Absent"), "")
</f>
        <v>Absent</v>
      </c>
      <c r="G211" s="20" t="str">
        <f>IFERROR(VLOOKUP(A211, SoftSkills_Evaluations!C:L, 8, FALSE), "")</f>
        <v/>
      </c>
      <c r="H211" s="20" t="str">
        <f>IFERROR(VLOOKUP(A211, Technical_Evaluations!C:L, 7, FALSE), "")
</f>
        <v/>
      </c>
      <c r="I211" s="20" t="str">
        <f>IFERROR(VLOOKUP(A211, 'GD Evaluations'!A:G, 7, FALSE), "")</f>
        <v/>
      </c>
      <c r="J211" s="20">
        <f t="shared" si="1"/>
        <v>0</v>
      </c>
      <c r="K211" s="20">
        <f t="shared" si="2"/>
        <v>0</v>
      </c>
    </row>
    <row r="212">
      <c r="A212" s="69" t="s">
        <v>772</v>
      </c>
      <c r="B212" s="69" t="s">
        <v>773</v>
      </c>
      <c r="C212" s="69" t="s">
        <v>53</v>
      </c>
      <c r="D212" s="69" t="s">
        <v>39</v>
      </c>
      <c r="E212" s="19" t="str">
        <f>IF(A212&lt;&gt;"", IF(COUNTIF(Technical_Evaluations!C:C, A212), "Present", "Absent"), "")</f>
        <v>Absent</v>
      </c>
      <c r="F212" s="19" t="str">
        <f>IF(A212&lt;&gt;"", IF(COUNTIF(Technical_Evaluations!C:C, A212), "Present", "Absent"), "")
</f>
        <v>Absent</v>
      </c>
      <c r="G212" s="20" t="str">
        <f>IFERROR(VLOOKUP(A212, SoftSkills_Evaluations!C:L, 8, FALSE), "")</f>
        <v/>
      </c>
      <c r="H212" s="20" t="str">
        <f>IFERROR(VLOOKUP(A212, Technical_Evaluations!C:L, 7, FALSE), "")
</f>
        <v/>
      </c>
      <c r="I212" s="20" t="str">
        <f>IFERROR(VLOOKUP(A212, 'GD Evaluations'!A:G, 7, FALSE), "")</f>
        <v/>
      </c>
      <c r="J212" s="20">
        <f t="shared" si="1"/>
        <v>0</v>
      </c>
      <c r="K212" s="20">
        <f t="shared" si="2"/>
        <v>0</v>
      </c>
    </row>
    <row r="213">
      <c r="A213" s="69" t="s">
        <v>774</v>
      </c>
      <c r="B213" s="69" t="s">
        <v>775</v>
      </c>
      <c r="C213" s="69" t="s">
        <v>53</v>
      </c>
      <c r="D213" s="69" t="s">
        <v>39</v>
      </c>
      <c r="E213" s="19" t="str">
        <f>IF(A213&lt;&gt;"", IF(COUNTIF(Technical_Evaluations!C:C, A213), "Present", "Absent"), "")</f>
        <v>Absent</v>
      </c>
      <c r="F213" s="19" t="str">
        <f>IF(A213&lt;&gt;"", IF(COUNTIF(Technical_Evaluations!C:C, A213), "Present", "Absent"), "")
</f>
        <v>Absent</v>
      </c>
      <c r="G213" s="20" t="str">
        <f>IFERROR(VLOOKUP(A213, SoftSkills_Evaluations!C:L, 8, FALSE), "")</f>
        <v/>
      </c>
      <c r="H213" s="20" t="str">
        <f>IFERROR(VLOOKUP(A213, Technical_Evaluations!C:L, 7, FALSE), "")
</f>
        <v/>
      </c>
      <c r="I213" s="20" t="str">
        <f>IFERROR(VLOOKUP(A213, 'GD Evaluations'!A:G, 7, FALSE), "")</f>
        <v/>
      </c>
      <c r="J213" s="20">
        <f t="shared" si="1"/>
        <v>0</v>
      </c>
      <c r="K213" s="20">
        <f t="shared" si="2"/>
        <v>0</v>
      </c>
    </row>
    <row r="214">
      <c r="A214" s="69" t="s">
        <v>776</v>
      </c>
      <c r="B214" s="69" t="s">
        <v>777</v>
      </c>
      <c r="C214" s="69" t="s">
        <v>53</v>
      </c>
      <c r="D214" s="69" t="s">
        <v>39</v>
      </c>
      <c r="E214" s="19" t="str">
        <f>IF(A214&lt;&gt;"", IF(COUNTIF(Technical_Evaluations!C:C, A214), "Present", "Absent"), "")</f>
        <v>Absent</v>
      </c>
      <c r="F214" s="19" t="str">
        <f>IF(A214&lt;&gt;"", IF(COUNTIF(Technical_Evaluations!C:C, A214), "Present", "Absent"), "")
</f>
        <v>Absent</v>
      </c>
      <c r="G214" s="20" t="str">
        <f>IFERROR(VLOOKUP(A214, SoftSkills_Evaluations!C:L, 8, FALSE), "")</f>
        <v/>
      </c>
      <c r="H214" s="20" t="str">
        <f>IFERROR(VLOOKUP(A214, Technical_Evaluations!C:L, 7, FALSE), "")
</f>
        <v/>
      </c>
      <c r="I214" s="20" t="str">
        <f>IFERROR(VLOOKUP(A214, 'GD Evaluations'!A:G, 7, FALSE), "")</f>
        <v/>
      </c>
      <c r="J214" s="20">
        <f t="shared" si="1"/>
        <v>0</v>
      </c>
      <c r="K214" s="20">
        <f t="shared" si="2"/>
        <v>0</v>
      </c>
    </row>
    <row r="215">
      <c r="A215" s="69" t="s">
        <v>778</v>
      </c>
      <c r="B215" s="69" t="s">
        <v>779</v>
      </c>
      <c r="C215" s="69" t="s">
        <v>53</v>
      </c>
      <c r="D215" s="69" t="s">
        <v>39</v>
      </c>
      <c r="E215" s="19" t="str">
        <f>IF(A215&lt;&gt;"", IF(COUNTIF(Technical_Evaluations!C:C, A215), "Present", "Absent"), "")</f>
        <v>Absent</v>
      </c>
      <c r="F215" s="19" t="str">
        <f>IF(A215&lt;&gt;"", IF(COUNTIF(Technical_Evaluations!C:C, A215), "Present", "Absent"), "")
</f>
        <v>Absent</v>
      </c>
      <c r="G215" s="20" t="str">
        <f>IFERROR(VLOOKUP(A215, SoftSkills_Evaluations!C:L, 8, FALSE), "")</f>
        <v/>
      </c>
      <c r="H215" s="20" t="str">
        <f>IFERROR(VLOOKUP(A215, Technical_Evaluations!C:L, 7, FALSE), "")
</f>
        <v/>
      </c>
      <c r="I215" s="20" t="str">
        <f>IFERROR(VLOOKUP(A215, 'GD Evaluations'!A:G, 7, FALSE), "")</f>
        <v/>
      </c>
      <c r="J215" s="20">
        <f t="shared" si="1"/>
        <v>0</v>
      </c>
      <c r="K215" s="20">
        <f t="shared" si="2"/>
        <v>0</v>
      </c>
    </row>
    <row r="216">
      <c r="A216" s="69" t="s">
        <v>780</v>
      </c>
      <c r="B216" s="69" t="s">
        <v>781</v>
      </c>
      <c r="C216" s="69" t="s">
        <v>53</v>
      </c>
      <c r="D216" s="69" t="s">
        <v>39</v>
      </c>
      <c r="E216" s="19" t="str">
        <f>IF(A216&lt;&gt;"", IF(COUNTIF(Technical_Evaluations!C:C, A216), "Present", "Absent"), "")</f>
        <v>Absent</v>
      </c>
      <c r="F216" s="19" t="str">
        <f>IF(A216&lt;&gt;"", IF(COUNTIF(Technical_Evaluations!C:C, A216), "Present", "Absent"), "")
</f>
        <v>Absent</v>
      </c>
      <c r="G216" s="20" t="str">
        <f>IFERROR(VLOOKUP(A216, SoftSkills_Evaluations!C:L, 8, FALSE), "")</f>
        <v/>
      </c>
      <c r="H216" s="20" t="str">
        <f>IFERROR(VLOOKUP(A216, Technical_Evaluations!C:L, 7, FALSE), "")
</f>
        <v/>
      </c>
      <c r="I216" s="20" t="str">
        <f>IFERROR(VLOOKUP(A216, 'GD Evaluations'!A:G, 7, FALSE), "")</f>
        <v/>
      </c>
      <c r="J216" s="20">
        <f t="shared" si="1"/>
        <v>0</v>
      </c>
      <c r="K216" s="20">
        <f t="shared" si="2"/>
        <v>0</v>
      </c>
    </row>
    <row r="217">
      <c r="A217" s="69" t="s">
        <v>248</v>
      </c>
      <c r="B217" s="69" t="s">
        <v>533</v>
      </c>
      <c r="C217" s="69" t="s">
        <v>53</v>
      </c>
      <c r="D217" s="69" t="s">
        <v>39</v>
      </c>
      <c r="E217" s="19" t="str">
        <f>IF(A217&lt;&gt;"", IF(COUNTIF(Technical_Evaluations!C:C, A217), "Present", "Absent"), "")</f>
        <v>Present</v>
      </c>
      <c r="F217" s="19" t="str">
        <f>IF(A217&lt;&gt;"", IF(COUNTIF(Technical_Evaluations!C:C, A217), "Present", "Absent"), "")
</f>
        <v>Present</v>
      </c>
      <c r="G217" s="20" t="str">
        <f>IFERROR(VLOOKUP(A217, SoftSkills_Evaluations!C:L, 8, FALSE), "")</f>
        <v/>
      </c>
      <c r="H217" s="20">
        <f>IFERROR(VLOOKUP(A217, Technical_Evaluations!C:L, 7, FALSE), "")
</f>
        <v>89.8</v>
      </c>
      <c r="I217" s="20">
        <f>IFERROR(VLOOKUP(A217, 'GD Evaluations'!A:G, 7, FALSE), "")</f>
        <v>44</v>
      </c>
      <c r="J217" s="20">
        <f t="shared" si="1"/>
        <v>44.6</v>
      </c>
      <c r="K217" s="20">
        <f t="shared" si="2"/>
        <v>22</v>
      </c>
    </row>
    <row r="218">
      <c r="A218" s="69" t="s">
        <v>782</v>
      </c>
      <c r="B218" s="69" t="s">
        <v>783</v>
      </c>
      <c r="C218" s="69" t="s">
        <v>53</v>
      </c>
      <c r="D218" s="69" t="s">
        <v>39</v>
      </c>
      <c r="E218" s="19" t="str">
        <f>IF(A218&lt;&gt;"", IF(COUNTIF(Technical_Evaluations!C:C, A218), "Present", "Absent"), "")</f>
        <v>Absent</v>
      </c>
      <c r="F218" s="19" t="str">
        <f>IF(A218&lt;&gt;"", IF(COUNTIF(Technical_Evaluations!C:C, A218), "Present", "Absent"), "")
</f>
        <v>Absent</v>
      </c>
      <c r="G218" s="20" t="str">
        <f>IFERROR(VLOOKUP(A218, SoftSkills_Evaluations!C:L, 8, FALSE), "")</f>
        <v/>
      </c>
      <c r="H218" s="20" t="str">
        <f>IFERROR(VLOOKUP(A218, Technical_Evaluations!C:L, 7, FALSE), "")
</f>
        <v/>
      </c>
      <c r="I218" s="20" t="str">
        <f>IFERROR(VLOOKUP(A218, 'GD Evaluations'!A:G, 7, FALSE), "")</f>
        <v/>
      </c>
      <c r="J218" s="20">
        <f t="shared" si="1"/>
        <v>0</v>
      </c>
      <c r="K218" s="20">
        <f t="shared" si="2"/>
        <v>0</v>
      </c>
    </row>
    <row r="219">
      <c r="A219" s="69" t="s">
        <v>166</v>
      </c>
      <c r="B219" s="69" t="s">
        <v>627</v>
      </c>
      <c r="C219" s="69" t="s">
        <v>53</v>
      </c>
      <c r="D219" s="69" t="s">
        <v>39</v>
      </c>
      <c r="E219" s="19" t="str">
        <f>IF(A219&lt;&gt;"", IF(COUNTIF(Technical_Evaluations!C:C, A219), "Present", "Absent"), "")</f>
        <v>Absent</v>
      </c>
      <c r="F219" s="19" t="str">
        <f>IF(A219&lt;&gt;"", IF(COUNTIF(Technical_Evaluations!C:C, A219), "Present", "Absent"), "")
</f>
        <v>Absent</v>
      </c>
      <c r="G219" s="20" t="str">
        <f>IFERROR(VLOOKUP(A219, SoftSkills_Evaluations!C:L, 8, FALSE), "")</f>
        <v/>
      </c>
      <c r="H219" s="20" t="str">
        <f>IFERROR(VLOOKUP(A219, Technical_Evaluations!C:L, 7, FALSE), "")
</f>
        <v/>
      </c>
      <c r="I219" s="20">
        <f>IFERROR(VLOOKUP(A219, 'GD Evaluations'!A:G, 7, FALSE), "")</f>
        <v>55</v>
      </c>
      <c r="J219" s="20">
        <f t="shared" si="1"/>
        <v>18.33333333</v>
      </c>
      <c r="K219" s="20">
        <f t="shared" si="2"/>
        <v>27.5</v>
      </c>
    </row>
    <row r="220">
      <c r="A220" s="69" t="s">
        <v>71</v>
      </c>
      <c r="B220" s="69" t="s">
        <v>619</v>
      </c>
      <c r="C220" s="69" t="s">
        <v>53</v>
      </c>
      <c r="D220" s="69" t="s">
        <v>39</v>
      </c>
      <c r="E220" s="19" t="str">
        <f>IF(A220&lt;&gt;"", IF(COUNTIF(Technical_Evaluations!C:C, A220), "Present", "Absent"), "")</f>
        <v>Absent</v>
      </c>
      <c r="F220" s="19" t="str">
        <f>IF(A220&lt;&gt;"", IF(COUNTIF(Technical_Evaluations!C:C, A220), "Present", "Absent"), "")
</f>
        <v>Absent</v>
      </c>
      <c r="G220" s="20" t="str">
        <f>IFERROR(VLOOKUP(A220, SoftSkills_Evaluations!C:L, 8, FALSE), "")</f>
        <v/>
      </c>
      <c r="H220" s="20" t="str">
        <f>IFERROR(VLOOKUP(A220, Technical_Evaluations!C:L, 7, FALSE), "")
</f>
        <v/>
      </c>
      <c r="I220" s="20">
        <f>IFERROR(VLOOKUP(A220, 'GD Evaluations'!A:G, 7, FALSE), "")</f>
        <v>62</v>
      </c>
      <c r="J220" s="20">
        <f t="shared" si="1"/>
        <v>20.66666667</v>
      </c>
      <c r="K220" s="20">
        <f t="shared" si="2"/>
        <v>31</v>
      </c>
    </row>
    <row r="221">
      <c r="A221" s="69" t="s">
        <v>784</v>
      </c>
      <c r="B221" s="69" t="s">
        <v>785</v>
      </c>
      <c r="C221" s="69" t="s">
        <v>53</v>
      </c>
      <c r="D221" s="69" t="s">
        <v>39</v>
      </c>
      <c r="E221" s="19" t="str">
        <f>IF(A221&lt;&gt;"", IF(COUNTIF(Technical_Evaluations!C:C, A221), "Present", "Absent"), "")</f>
        <v>Absent</v>
      </c>
      <c r="F221" s="19" t="str">
        <f>IF(A221&lt;&gt;"", IF(COUNTIF(Technical_Evaluations!C:C, A221), "Present", "Absent"), "")
</f>
        <v>Absent</v>
      </c>
      <c r="G221" s="20" t="str">
        <f>IFERROR(VLOOKUP(A221, SoftSkills_Evaluations!C:L, 8, FALSE), "")</f>
        <v/>
      </c>
      <c r="H221" s="20" t="str">
        <f>IFERROR(VLOOKUP(A221, Technical_Evaluations!C:L, 7, FALSE), "")
</f>
        <v/>
      </c>
      <c r="I221" s="20" t="str">
        <f>IFERROR(VLOOKUP(A221, 'GD Evaluations'!A:G, 7, FALSE), "")</f>
        <v/>
      </c>
      <c r="J221" s="20">
        <f t="shared" si="1"/>
        <v>0</v>
      </c>
      <c r="K221" s="20">
        <f t="shared" si="2"/>
        <v>0</v>
      </c>
    </row>
    <row r="222">
      <c r="A222" s="69" t="s">
        <v>64</v>
      </c>
      <c r="B222" s="69" t="s">
        <v>602</v>
      </c>
      <c r="C222" s="69" t="s">
        <v>53</v>
      </c>
      <c r="D222" s="69" t="s">
        <v>39</v>
      </c>
      <c r="E222" s="19" t="str">
        <f>IF(A222&lt;&gt;"", IF(COUNTIF(Technical_Evaluations!C:C, A222), "Present", "Absent"), "")</f>
        <v>Absent</v>
      </c>
      <c r="F222" s="19" t="str">
        <f>IF(A222&lt;&gt;"", IF(COUNTIF(Technical_Evaluations!C:C, A222), "Present", "Absent"), "")
</f>
        <v>Absent</v>
      </c>
      <c r="G222" s="20" t="str">
        <f>IFERROR(VLOOKUP(A222, SoftSkills_Evaluations!C:L, 8, FALSE), "")</f>
        <v/>
      </c>
      <c r="H222" s="20" t="str">
        <f>IFERROR(VLOOKUP(A222, Technical_Evaluations!C:L, 7, FALSE), "")
</f>
        <v/>
      </c>
      <c r="I222" s="20">
        <f>IFERROR(VLOOKUP(A222, 'GD Evaluations'!A:G, 7, FALSE), "")</f>
        <v>81</v>
      </c>
      <c r="J222" s="20">
        <f t="shared" si="1"/>
        <v>27</v>
      </c>
      <c r="K222" s="20">
        <f t="shared" si="2"/>
        <v>40.5</v>
      </c>
    </row>
    <row r="223">
      <c r="A223" s="69" t="s">
        <v>786</v>
      </c>
      <c r="B223" s="69" t="s">
        <v>787</v>
      </c>
      <c r="C223" s="69" t="s">
        <v>53</v>
      </c>
      <c r="D223" s="69" t="s">
        <v>39</v>
      </c>
      <c r="E223" s="19" t="str">
        <f>IF(A223&lt;&gt;"", IF(COUNTIF(Technical_Evaluations!C:C, A223), "Present", "Absent"), "")</f>
        <v>Absent</v>
      </c>
      <c r="F223" s="19" t="str">
        <f>IF(A223&lt;&gt;"", IF(COUNTIF(Technical_Evaluations!C:C, A223), "Present", "Absent"), "")
</f>
        <v>Absent</v>
      </c>
      <c r="G223" s="20" t="str">
        <f>IFERROR(VLOOKUP(A223, SoftSkills_Evaluations!C:L, 8, FALSE), "")</f>
        <v/>
      </c>
      <c r="H223" s="20" t="str">
        <f>IFERROR(VLOOKUP(A223, Technical_Evaluations!C:L, 7, FALSE), "")
</f>
        <v/>
      </c>
      <c r="I223" s="20" t="str">
        <f>IFERROR(VLOOKUP(A223, 'GD Evaluations'!A:G, 7, FALSE), "")</f>
        <v/>
      </c>
      <c r="J223" s="20">
        <f t="shared" si="1"/>
        <v>0</v>
      </c>
      <c r="K223" s="20">
        <f t="shared" si="2"/>
        <v>0</v>
      </c>
    </row>
    <row r="224">
      <c r="A224" s="69" t="s">
        <v>788</v>
      </c>
      <c r="B224" s="69" t="s">
        <v>789</v>
      </c>
      <c r="C224" s="69" t="s">
        <v>53</v>
      </c>
      <c r="D224" s="69" t="s">
        <v>39</v>
      </c>
      <c r="E224" s="19" t="str">
        <f>IF(A224&lt;&gt;"", IF(COUNTIF(Technical_Evaluations!C:C, A224), "Present", "Absent"), "")</f>
        <v>Absent</v>
      </c>
      <c r="F224" s="19" t="str">
        <f>IF(A224&lt;&gt;"", IF(COUNTIF(Technical_Evaluations!C:C, A224), "Present", "Absent"), "")
</f>
        <v>Absent</v>
      </c>
      <c r="G224" s="20" t="str">
        <f>IFERROR(VLOOKUP(A224, SoftSkills_Evaluations!C:L, 8, FALSE), "")</f>
        <v/>
      </c>
      <c r="H224" s="20" t="str">
        <f>IFERROR(VLOOKUP(A224, Technical_Evaluations!C:L, 7, FALSE), "")
</f>
        <v/>
      </c>
      <c r="I224" s="20" t="str">
        <f>IFERROR(VLOOKUP(A224, 'GD Evaluations'!A:G, 7, FALSE), "")</f>
        <v/>
      </c>
      <c r="J224" s="20">
        <f t="shared" si="1"/>
        <v>0</v>
      </c>
      <c r="K224" s="20">
        <f t="shared" si="2"/>
        <v>0</v>
      </c>
    </row>
    <row r="225">
      <c r="A225" s="69" t="s">
        <v>79</v>
      </c>
      <c r="B225" s="69" t="s">
        <v>600</v>
      </c>
      <c r="C225" s="69" t="s">
        <v>53</v>
      </c>
      <c r="D225" s="69" t="s">
        <v>39</v>
      </c>
      <c r="E225" s="19" t="str">
        <f>IF(A225&lt;&gt;"", IF(COUNTIF(Technical_Evaluations!C:C, A225), "Present", "Absent"), "")</f>
        <v>Absent</v>
      </c>
      <c r="F225" s="19" t="str">
        <f>IF(A225&lt;&gt;"", IF(COUNTIF(Technical_Evaluations!C:C, A225), "Present", "Absent"), "")
</f>
        <v>Absent</v>
      </c>
      <c r="G225" s="20" t="str">
        <f>IFERROR(VLOOKUP(A225, SoftSkills_Evaluations!C:L, 8, FALSE), "")</f>
        <v/>
      </c>
      <c r="H225" s="20" t="str">
        <f>IFERROR(VLOOKUP(A225, Technical_Evaluations!C:L, 7, FALSE), "")
</f>
        <v/>
      </c>
      <c r="I225" s="20">
        <f>IFERROR(VLOOKUP(A225, 'GD Evaluations'!A:G, 7, FALSE), "")</f>
        <v>87</v>
      </c>
      <c r="J225" s="20">
        <f t="shared" si="1"/>
        <v>29</v>
      </c>
      <c r="K225" s="20">
        <f t="shared" si="2"/>
        <v>43.5</v>
      </c>
    </row>
    <row r="226">
      <c r="A226" s="69" t="s">
        <v>790</v>
      </c>
      <c r="B226" s="69" t="s">
        <v>791</v>
      </c>
      <c r="C226" s="69" t="s">
        <v>53</v>
      </c>
      <c r="D226" s="69" t="s">
        <v>39</v>
      </c>
      <c r="E226" s="19" t="str">
        <f>IF(A226&lt;&gt;"", IF(COUNTIF(Technical_Evaluations!C:C, A226), "Present", "Absent"), "")</f>
        <v>Absent</v>
      </c>
      <c r="F226" s="19" t="str">
        <f>IF(A226&lt;&gt;"", IF(COUNTIF(Technical_Evaluations!C:C, A226), "Present", "Absent"), "")
</f>
        <v>Absent</v>
      </c>
      <c r="G226" s="20" t="str">
        <f>IFERROR(VLOOKUP(A226, SoftSkills_Evaluations!C:L, 8, FALSE), "")</f>
        <v/>
      </c>
      <c r="H226" s="20" t="str">
        <f>IFERROR(VLOOKUP(A226, Technical_Evaluations!C:L, 7, FALSE), "")
</f>
        <v/>
      </c>
      <c r="I226" s="20" t="str">
        <f>IFERROR(VLOOKUP(A226, 'GD Evaluations'!A:G, 7, FALSE), "")</f>
        <v/>
      </c>
      <c r="J226" s="20">
        <f t="shared" si="1"/>
        <v>0</v>
      </c>
      <c r="K226" s="20">
        <f t="shared" si="2"/>
        <v>0</v>
      </c>
    </row>
    <row r="227">
      <c r="A227" s="69" t="s">
        <v>50</v>
      </c>
      <c r="B227" s="69" t="s">
        <v>612</v>
      </c>
      <c r="C227" s="69" t="s">
        <v>53</v>
      </c>
      <c r="D227" s="69" t="s">
        <v>39</v>
      </c>
      <c r="E227" s="19" t="str">
        <f>IF(A227&lt;&gt;"", IF(COUNTIF(Technical_Evaluations!C:C, A227), "Present", "Absent"), "")</f>
        <v>Absent</v>
      </c>
      <c r="F227" s="19" t="str">
        <f>IF(A227&lt;&gt;"", IF(COUNTIF(Technical_Evaluations!C:C, A227), "Present", "Absent"), "")
</f>
        <v>Absent</v>
      </c>
      <c r="G227" s="20" t="str">
        <f>IFERROR(VLOOKUP(A227, SoftSkills_Evaluations!C:L, 8, FALSE), "")</f>
        <v/>
      </c>
      <c r="H227" s="20" t="str">
        <f>IFERROR(VLOOKUP(A227, Technical_Evaluations!C:L, 7, FALSE), "")
</f>
        <v/>
      </c>
      <c r="I227" s="20">
        <f>IFERROR(VLOOKUP(A227, 'GD Evaluations'!A:G, 7, FALSE), "")</f>
        <v>72</v>
      </c>
      <c r="J227" s="20">
        <f t="shared" si="1"/>
        <v>24</v>
      </c>
      <c r="K227" s="20">
        <f t="shared" si="2"/>
        <v>36</v>
      </c>
    </row>
    <row r="228">
      <c r="A228" s="69" t="s">
        <v>792</v>
      </c>
      <c r="B228" s="69" t="s">
        <v>793</v>
      </c>
      <c r="C228" s="69" t="s">
        <v>53</v>
      </c>
      <c r="D228" s="69" t="s">
        <v>39</v>
      </c>
      <c r="E228" s="19" t="str">
        <f>IF(A228&lt;&gt;"", IF(COUNTIF(Technical_Evaluations!C:C, A228), "Present", "Absent"), "")</f>
        <v>Absent</v>
      </c>
      <c r="F228" s="19" t="str">
        <f>IF(A228&lt;&gt;"", IF(COUNTIF(Technical_Evaluations!C:C, A228), "Present", "Absent"), "")
</f>
        <v>Absent</v>
      </c>
      <c r="G228" s="20" t="str">
        <f>IFERROR(VLOOKUP(A228, SoftSkills_Evaluations!C:L, 8, FALSE), "")</f>
        <v/>
      </c>
      <c r="H228" s="20" t="str">
        <f>IFERROR(VLOOKUP(A228, Technical_Evaluations!C:L, 7, FALSE), "")
</f>
        <v/>
      </c>
      <c r="I228" s="20" t="str">
        <f>IFERROR(VLOOKUP(A228, 'GD Evaluations'!A:G, 7, FALSE), "")</f>
        <v/>
      </c>
      <c r="J228" s="20">
        <f t="shared" si="1"/>
        <v>0</v>
      </c>
      <c r="K228" s="20">
        <f t="shared" si="2"/>
        <v>0</v>
      </c>
    </row>
    <row r="229">
      <c r="A229" s="69" t="s">
        <v>794</v>
      </c>
      <c r="B229" s="69" t="s">
        <v>795</v>
      </c>
      <c r="C229" s="69" t="s">
        <v>53</v>
      </c>
      <c r="D229" s="69" t="s">
        <v>39</v>
      </c>
      <c r="E229" s="19" t="str">
        <f>IF(A229&lt;&gt;"", IF(COUNTIF(Technical_Evaluations!C:C, A229), "Present", "Absent"), "")</f>
        <v>Absent</v>
      </c>
      <c r="F229" s="19" t="str">
        <f>IF(A229&lt;&gt;"", IF(COUNTIF(Technical_Evaluations!C:C, A229), "Present", "Absent"), "")
</f>
        <v>Absent</v>
      </c>
      <c r="G229" s="20" t="str">
        <f>IFERROR(VLOOKUP(A229, SoftSkills_Evaluations!C:L, 8, FALSE), "")</f>
        <v/>
      </c>
      <c r="H229" s="20" t="str">
        <f>IFERROR(VLOOKUP(A229, Technical_Evaluations!C:L, 7, FALSE), "")
</f>
        <v/>
      </c>
      <c r="I229" s="20" t="str">
        <f>IFERROR(VLOOKUP(A229, 'GD Evaluations'!A:G, 7, FALSE), "")</f>
        <v/>
      </c>
      <c r="J229" s="20">
        <f t="shared" si="1"/>
        <v>0</v>
      </c>
      <c r="K229" s="20">
        <f t="shared" si="2"/>
        <v>0</v>
      </c>
    </row>
    <row r="230">
      <c r="A230" s="69" t="s">
        <v>796</v>
      </c>
      <c r="B230" s="69" t="s">
        <v>797</v>
      </c>
      <c r="C230" s="69" t="s">
        <v>53</v>
      </c>
      <c r="D230" s="69" t="s">
        <v>39</v>
      </c>
      <c r="E230" s="19" t="str">
        <f>IF(A230&lt;&gt;"", IF(COUNTIF(Technical_Evaluations!C:C, A230), "Present", "Absent"), "")</f>
        <v>Absent</v>
      </c>
      <c r="F230" s="19" t="str">
        <f>IF(A230&lt;&gt;"", IF(COUNTIF(Technical_Evaluations!C:C, A230), "Present", "Absent"), "")
</f>
        <v>Absent</v>
      </c>
      <c r="G230" s="20" t="str">
        <f>IFERROR(VLOOKUP(A230, SoftSkills_Evaluations!C:L, 8, FALSE), "")</f>
        <v/>
      </c>
      <c r="H230" s="20" t="str">
        <f>IFERROR(VLOOKUP(A230, Technical_Evaluations!C:L, 7, FALSE), "")
</f>
        <v/>
      </c>
      <c r="I230" s="20" t="str">
        <f>IFERROR(VLOOKUP(A230, 'GD Evaluations'!A:G, 7, FALSE), "")</f>
        <v/>
      </c>
      <c r="J230" s="20">
        <f t="shared" si="1"/>
        <v>0</v>
      </c>
      <c r="K230" s="20">
        <f t="shared" si="2"/>
        <v>0</v>
      </c>
    </row>
    <row r="231">
      <c r="A231" s="69" t="s">
        <v>798</v>
      </c>
      <c r="B231" s="69" t="s">
        <v>799</v>
      </c>
      <c r="C231" s="69" t="s">
        <v>53</v>
      </c>
      <c r="D231" s="69" t="s">
        <v>39</v>
      </c>
      <c r="E231" s="19" t="str">
        <f>IF(A231&lt;&gt;"", IF(COUNTIF(Technical_Evaluations!C:C, A231), "Present", "Absent"), "")</f>
        <v>Absent</v>
      </c>
      <c r="F231" s="19" t="str">
        <f>IF(A231&lt;&gt;"", IF(COUNTIF(Technical_Evaluations!C:C, A231), "Present", "Absent"), "")
</f>
        <v>Absent</v>
      </c>
      <c r="G231" s="20" t="str">
        <f>IFERROR(VLOOKUP(A231, SoftSkills_Evaluations!C:L, 8, FALSE), "")</f>
        <v/>
      </c>
      <c r="H231" s="20" t="str">
        <f>IFERROR(VLOOKUP(A231, Technical_Evaluations!C:L, 7, FALSE), "")
</f>
        <v/>
      </c>
      <c r="I231" s="20" t="str">
        <f>IFERROR(VLOOKUP(A231, 'GD Evaluations'!A:G, 7, FALSE), "")</f>
        <v/>
      </c>
      <c r="J231" s="20">
        <f t="shared" si="1"/>
        <v>0</v>
      </c>
      <c r="K231" s="20">
        <f t="shared" si="2"/>
        <v>0</v>
      </c>
    </row>
    <row r="232">
      <c r="A232" s="69" t="s">
        <v>125</v>
      </c>
      <c r="B232" s="69" t="s">
        <v>607</v>
      </c>
      <c r="C232" s="69" t="s">
        <v>53</v>
      </c>
      <c r="D232" s="69" t="s">
        <v>39</v>
      </c>
      <c r="E232" s="19" t="str">
        <f>IF(A232&lt;&gt;"", IF(COUNTIF(Technical_Evaluations!C:C, A232), "Present", "Absent"), "")</f>
        <v>Absent</v>
      </c>
      <c r="F232" s="19" t="str">
        <f>IF(A232&lt;&gt;"", IF(COUNTIF(Technical_Evaluations!C:C, A232), "Present", "Absent"), "")
</f>
        <v>Absent</v>
      </c>
      <c r="G232" s="20" t="str">
        <f>IFERROR(VLOOKUP(A232, SoftSkills_Evaluations!C:L, 8, FALSE), "")</f>
        <v/>
      </c>
      <c r="H232" s="20" t="str">
        <f>IFERROR(VLOOKUP(A232, Technical_Evaluations!C:L, 7, FALSE), "")
</f>
        <v/>
      </c>
      <c r="I232" s="20">
        <f>IFERROR(VLOOKUP(A232, 'GD Evaluations'!A:G, 7, FALSE), "")</f>
        <v>80</v>
      </c>
      <c r="J232" s="20">
        <f t="shared" si="1"/>
        <v>26.66666667</v>
      </c>
      <c r="K232" s="20">
        <f t="shared" si="2"/>
        <v>40</v>
      </c>
    </row>
    <row r="233">
      <c r="A233" s="69" t="s">
        <v>800</v>
      </c>
      <c r="B233" s="69" t="s">
        <v>801</v>
      </c>
      <c r="C233" s="69" t="s">
        <v>53</v>
      </c>
      <c r="D233" s="69" t="s">
        <v>39</v>
      </c>
      <c r="E233" s="19" t="str">
        <f>IF(A233&lt;&gt;"", IF(COUNTIF(Technical_Evaluations!C:C, A233), "Present", "Absent"), "")</f>
        <v>Absent</v>
      </c>
      <c r="F233" s="19" t="str">
        <f>IF(A233&lt;&gt;"", IF(COUNTIF(Technical_Evaluations!C:C, A233), "Present", "Absent"), "")
</f>
        <v>Absent</v>
      </c>
      <c r="G233" s="20" t="str">
        <f>IFERROR(VLOOKUP(A233, SoftSkills_Evaluations!C:L, 8, FALSE), "")</f>
        <v/>
      </c>
      <c r="H233" s="20" t="str">
        <f>IFERROR(VLOOKUP(A233, Technical_Evaluations!C:L, 7, FALSE), "")
</f>
        <v/>
      </c>
      <c r="I233" s="20" t="str">
        <f>IFERROR(VLOOKUP(A233, 'GD Evaluations'!A:G, 7, FALSE), "")</f>
        <v/>
      </c>
      <c r="J233" s="20">
        <f t="shared" si="1"/>
        <v>0</v>
      </c>
      <c r="K233" s="20">
        <f t="shared" si="2"/>
        <v>0</v>
      </c>
    </row>
    <row r="234">
      <c r="A234" s="69" t="s">
        <v>802</v>
      </c>
      <c r="B234" s="69" t="s">
        <v>803</v>
      </c>
      <c r="C234" s="69" t="s">
        <v>53</v>
      </c>
      <c r="D234" s="69" t="s">
        <v>39</v>
      </c>
      <c r="E234" s="19" t="str">
        <f>IF(A234&lt;&gt;"", IF(COUNTIF(Technical_Evaluations!C:C, A234), "Present", "Absent"), "")</f>
        <v>Absent</v>
      </c>
      <c r="F234" s="19" t="str">
        <f>IF(A234&lt;&gt;"", IF(COUNTIF(Technical_Evaluations!C:C, A234), "Present", "Absent"), "")
</f>
        <v>Absent</v>
      </c>
      <c r="G234" s="20" t="str">
        <f>IFERROR(VLOOKUP(A234, SoftSkills_Evaluations!C:L, 8, FALSE), "")</f>
        <v/>
      </c>
      <c r="H234" s="20" t="str">
        <f>IFERROR(VLOOKUP(A234, Technical_Evaluations!C:L, 7, FALSE), "")
</f>
        <v/>
      </c>
      <c r="I234" s="20" t="str">
        <f>IFERROR(VLOOKUP(A234, 'GD Evaluations'!A:G, 7, FALSE), "")</f>
        <v/>
      </c>
      <c r="J234" s="20">
        <f t="shared" si="1"/>
        <v>0</v>
      </c>
      <c r="K234" s="20">
        <f t="shared" si="2"/>
        <v>0</v>
      </c>
    </row>
    <row r="235">
      <c r="A235" s="69" t="s">
        <v>804</v>
      </c>
      <c r="B235" s="69" t="s">
        <v>805</v>
      </c>
      <c r="C235" s="69" t="s">
        <v>38</v>
      </c>
      <c r="D235" s="69" t="s">
        <v>606</v>
      </c>
      <c r="E235" s="19" t="str">
        <f>IF(A235&lt;&gt;"", IF(COUNTIF(Technical_Evaluations!C:C, A235), "Present", "Absent"), "")</f>
        <v>Absent</v>
      </c>
      <c r="F235" s="19" t="str">
        <f>IF(A235&lt;&gt;"", IF(COUNTIF(Technical_Evaluations!C:C, A235), "Present", "Absent"), "")
</f>
        <v>Absent</v>
      </c>
      <c r="G235" s="20" t="str">
        <f>IFERROR(VLOOKUP(A235, SoftSkills_Evaluations!C:L, 8, FALSE), "")</f>
        <v/>
      </c>
      <c r="H235" s="20" t="str">
        <f>IFERROR(VLOOKUP(A235, Technical_Evaluations!C:L, 7, FALSE), "")
</f>
        <v/>
      </c>
      <c r="I235" s="20" t="str">
        <f>IFERROR(VLOOKUP(A235, 'GD Evaluations'!A:G, 7, FALSE), "")</f>
        <v/>
      </c>
      <c r="J235" s="20">
        <f t="shared" si="1"/>
        <v>0</v>
      </c>
      <c r="K235" s="20">
        <f t="shared" si="2"/>
        <v>0</v>
      </c>
    </row>
    <row r="236">
      <c r="A236" s="69" t="s">
        <v>806</v>
      </c>
      <c r="B236" s="69" t="s">
        <v>807</v>
      </c>
      <c r="C236" s="69" t="s">
        <v>38</v>
      </c>
      <c r="D236" s="69" t="s">
        <v>606</v>
      </c>
      <c r="E236" s="19" t="str">
        <f>IF(A236&lt;&gt;"", IF(COUNTIF(Technical_Evaluations!C:C, A236), "Present", "Absent"), "")</f>
        <v>Absent</v>
      </c>
      <c r="F236" s="19" t="str">
        <f>IF(A236&lt;&gt;"", IF(COUNTIF(Technical_Evaluations!C:C, A236), "Present", "Absent"), "")
</f>
        <v>Absent</v>
      </c>
      <c r="G236" s="20" t="str">
        <f>IFERROR(VLOOKUP(A236, SoftSkills_Evaluations!C:L, 8, FALSE), "")</f>
        <v/>
      </c>
      <c r="H236" s="20" t="str">
        <f>IFERROR(VLOOKUP(A236, Technical_Evaluations!C:L, 7, FALSE), "")
</f>
        <v/>
      </c>
      <c r="I236" s="20" t="str">
        <f>IFERROR(VLOOKUP(A236, 'GD Evaluations'!A:G, 7, FALSE), "")</f>
        <v/>
      </c>
      <c r="J236" s="20">
        <f t="shared" si="1"/>
        <v>0</v>
      </c>
      <c r="K236" s="20">
        <f t="shared" si="2"/>
        <v>0</v>
      </c>
    </row>
    <row r="237">
      <c r="A237" s="69" t="s">
        <v>186</v>
      </c>
      <c r="B237" s="69" t="s">
        <v>623</v>
      </c>
      <c r="C237" s="69" t="s">
        <v>38</v>
      </c>
      <c r="D237" s="69" t="s">
        <v>606</v>
      </c>
      <c r="E237" s="19" t="str">
        <f>IF(A237&lt;&gt;"", IF(COUNTIF(Technical_Evaluations!C:C, A237), "Present", "Absent"), "")</f>
        <v>Absent</v>
      </c>
      <c r="F237" s="19" t="str">
        <f>IF(A237&lt;&gt;"", IF(COUNTIF(Technical_Evaluations!C:C, A237), "Present", "Absent"), "")
</f>
        <v>Absent</v>
      </c>
      <c r="G237" s="20" t="str">
        <f>IFERROR(VLOOKUP(A237, SoftSkills_Evaluations!C:L, 8, FALSE), "")</f>
        <v/>
      </c>
      <c r="H237" s="20" t="str">
        <f>IFERROR(VLOOKUP(A237, Technical_Evaluations!C:L, 7, FALSE), "")
</f>
        <v/>
      </c>
      <c r="I237" s="20">
        <f>IFERROR(VLOOKUP(A237, 'GD Evaluations'!A:G, 7, FALSE), "")</f>
        <v>61</v>
      </c>
      <c r="J237" s="20">
        <f t="shared" si="1"/>
        <v>20.33333333</v>
      </c>
      <c r="K237" s="20">
        <f t="shared" si="2"/>
        <v>30.5</v>
      </c>
    </row>
    <row r="238">
      <c r="A238" s="69" t="s">
        <v>184</v>
      </c>
      <c r="B238" s="69" t="s">
        <v>617</v>
      </c>
      <c r="C238" s="69" t="s">
        <v>38</v>
      </c>
      <c r="D238" s="69" t="s">
        <v>606</v>
      </c>
      <c r="E238" s="19" t="str">
        <f>IF(A238&lt;&gt;"", IF(COUNTIF(Technical_Evaluations!C:C, A238), "Present", "Absent"), "")</f>
        <v>Absent</v>
      </c>
      <c r="F238" s="19" t="str">
        <f>IF(A238&lt;&gt;"", IF(COUNTIF(Technical_Evaluations!C:C, A238), "Present", "Absent"), "")
</f>
        <v>Absent</v>
      </c>
      <c r="G238" s="20" t="str">
        <f>IFERROR(VLOOKUP(A238, SoftSkills_Evaluations!C:L, 8, FALSE), "")</f>
        <v/>
      </c>
      <c r="H238" s="20" t="str">
        <f>IFERROR(VLOOKUP(A238, Technical_Evaluations!C:L, 7, FALSE), "")
</f>
        <v/>
      </c>
      <c r="I238" s="20">
        <f>IFERROR(VLOOKUP(A238, 'GD Evaluations'!A:G, 7, FALSE), "")</f>
        <v>64</v>
      </c>
      <c r="J238" s="20">
        <f t="shared" si="1"/>
        <v>21.33333333</v>
      </c>
      <c r="K238" s="20">
        <f t="shared" si="2"/>
        <v>32</v>
      </c>
    </row>
    <row r="239">
      <c r="A239" s="69" t="s">
        <v>808</v>
      </c>
      <c r="B239" s="69" t="s">
        <v>809</v>
      </c>
      <c r="C239" s="69" t="s">
        <v>38</v>
      </c>
      <c r="D239" s="69" t="s">
        <v>606</v>
      </c>
      <c r="E239" s="19" t="str">
        <f>IF(A239&lt;&gt;"", IF(COUNTIF(Technical_Evaluations!C:C, A239), "Present", "Absent"), "")</f>
        <v>Absent</v>
      </c>
      <c r="F239" s="19" t="str">
        <f>IF(A239&lt;&gt;"", IF(COUNTIF(Technical_Evaluations!C:C, A239), "Present", "Absent"), "")
</f>
        <v>Absent</v>
      </c>
      <c r="G239" s="20" t="str">
        <f>IFERROR(VLOOKUP(A239, SoftSkills_Evaluations!C:L, 8, FALSE), "")</f>
        <v/>
      </c>
      <c r="H239" s="20" t="str">
        <f>IFERROR(VLOOKUP(A239, Technical_Evaluations!C:L, 7, FALSE), "")
</f>
        <v/>
      </c>
      <c r="I239" s="20" t="str">
        <f>IFERROR(VLOOKUP(A239, 'GD Evaluations'!A:G, 7, FALSE), "")</f>
        <v/>
      </c>
      <c r="J239" s="20">
        <f t="shared" si="1"/>
        <v>0</v>
      </c>
      <c r="K239" s="20">
        <f t="shared" si="2"/>
        <v>0</v>
      </c>
    </row>
    <row r="240">
      <c r="A240" s="69" t="s">
        <v>810</v>
      </c>
      <c r="B240" s="69" t="s">
        <v>811</v>
      </c>
      <c r="C240" s="69" t="s">
        <v>38</v>
      </c>
      <c r="D240" s="69" t="s">
        <v>606</v>
      </c>
      <c r="E240" s="19" t="str">
        <f>IF(A240&lt;&gt;"", IF(COUNTIF(Technical_Evaluations!C:C, A240), "Present", "Absent"), "")</f>
        <v>Absent</v>
      </c>
      <c r="F240" s="19" t="str">
        <f>IF(A240&lt;&gt;"", IF(COUNTIF(Technical_Evaluations!C:C, A240), "Present", "Absent"), "")
</f>
        <v>Absent</v>
      </c>
      <c r="G240" s="20" t="str">
        <f>IFERROR(VLOOKUP(A240, SoftSkills_Evaluations!C:L, 8, FALSE), "")</f>
        <v/>
      </c>
      <c r="H240" s="20" t="str">
        <f>IFERROR(VLOOKUP(A240, Technical_Evaluations!C:L, 7, FALSE), "")
</f>
        <v/>
      </c>
      <c r="I240" s="20" t="str">
        <f>IFERROR(VLOOKUP(A240, 'GD Evaluations'!A:G, 7, FALSE), "")</f>
        <v/>
      </c>
      <c r="J240" s="20">
        <f t="shared" si="1"/>
        <v>0</v>
      </c>
      <c r="K240" s="20">
        <f t="shared" si="2"/>
        <v>0</v>
      </c>
    </row>
    <row r="241">
      <c r="A241" s="69" t="s">
        <v>812</v>
      </c>
      <c r="B241" s="69" t="s">
        <v>813</v>
      </c>
      <c r="C241" s="69" t="s">
        <v>38</v>
      </c>
      <c r="D241" s="69" t="s">
        <v>606</v>
      </c>
      <c r="E241" s="19" t="str">
        <f>IF(A241&lt;&gt;"", IF(COUNTIF(Technical_Evaluations!C:C, A241), "Present", "Absent"), "")</f>
        <v>Absent</v>
      </c>
      <c r="F241" s="19" t="str">
        <f>IF(A241&lt;&gt;"", IF(COUNTIF(Technical_Evaluations!C:C, A241), "Present", "Absent"), "")
</f>
        <v>Absent</v>
      </c>
      <c r="G241" s="20" t="str">
        <f>IFERROR(VLOOKUP(A241, SoftSkills_Evaluations!C:L, 8, FALSE), "")</f>
        <v/>
      </c>
      <c r="H241" s="20" t="str">
        <f>IFERROR(VLOOKUP(A241, Technical_Evaluations!C:L, 7, FALSE), "")
</f>
        <v/>
      </c>
      <c r="I241" s="20" t="str">
        <f>IFERROR(VLOOKUP(A241, 'GD Evaluations'!A:G, 7, FALSE), "")</f>
        <v/>
      </c>
      <c r="J241" s="20">
        <f t="shared" si="1"/>
        <v>0</v>
      </c>
      <c r="K241" s="20">
        <f t="shared" si="2"/>
        <v>0</v>
      </c>
    </row>
    <row r="242">
      <c r="A242" s="69" t="s">
        <v>814</v>
      </c>
      <c r="B242" s="69" t="s">
        <v>815</v>
      </c>
      <c r="C242" s="69" t="s">
        <v>38</v>
      </c>
      <c r="D242" s="69" t="s">
        <v>816</v>
      </c>
      <c r="E242" s="19" t="str">
        <f>IF(A242&lt;&gt;"", IF(COUNTIF(Technical_Evaluations!C:C, A242), "Present", "Absent"), "")</f>
        <v>Absent</v>
      </c>
      <c r="F242" s="19" t="str">
        <f>IF(A242&lt;&gt;"", IF(COUNTIF(Technical_Evaluations!C:C, A242), "Present", "Absent"), "")
</f>
        <v>Absent</v>
      </c>
      <c r="G242" s="20" t="str">
        <f>IFERROR(VLOOKUP(A242, SoftSkills_Evaluations!C:L, 8, FALSE), "")</f>
        <v/>
      </c>
      <c r="H242" s="20" t="str">
        <f>IFERROR(VLOOKUP(A242, Technical_Evaluations!C:L, 7, FALSE), "")
</f>
        <v/>
      </c>
      <c r="I242" s="20" t="str">
        <f>IFERROR(VLOOKUP(A242, 'GD Evaluations'!A:G, 7, FALSE), "")</f>
        <v/>
      </c>
      <c r="J242" s="20">
        <f t="shared" si="1"/>
        <v>0</v>
      </c>
      <c r="K242" s="20">
        <f t="shared" si="2"/>
        <v>0</v>
      </c>
    </row>
    <row r="243">
      <c r="A243" s="69" t="s">
        <v>817</v>
      </c>
      <c r="B243" s="69" t="s">
        <v>818</v>
      </c>
      <c r="C243" s="69" t="s">
        <v>38</v>
      </c>
      <c r="D243" s="69" t="s">
        <v>606</v>
      </c>
      <c r="E243" s="19" t="str">
        <f>IF(A243&lt;&gt;"", IF(COUNTIF(Technical_Evaluations!C:C, A243), "Present", "Absent"), "")</f>
        <v>Absent</v>
      </c>
      <c r="F243" s="19" t="str">
        <f>IF(A243&lt;&gt;"", IF(COUNTIF(Technical_Evaluations!C:C, A243), "Present", "Absent"), "")
</f>
        <v>Absent</v>
      </c>
      <c r="G243" s="20" t="str">
        <f>IFERROR(VLOOKUP(A243, SoftSkills_Evaluations!C:L, 8, FALSE), "")</f>
        <v/>
      </c>
      <c r="H243" s="20" t="str">
        <f>IFERROR(VLOOKUP(A243, Technical_Evaluations!C:L, 7, FALSE), "")
</f>
        <v/>
      </c>
      <c r="I243" s="20" t="str">
        <f>IFERROR(VLOOKUP(A243, 'GD Evaluations'!A:G, 7, FALSE), "")</f>
        <v/>
      </c>
      <c r="J243" s="20">
        <f t="shared" si="1"/>
        <v>0</v>
      </c>
      <c r="K243" s="20">
        <f t="shared" si="2"/>
        <v>0</v>
      </c>
    </row>
    <row r="244">
      <c r="A244" s="69" t="s">
        <v>182</v>
      </c>
      <c r="B244" s="69" t="s">
        <v>624</v>
      </c>
      <c r="C244" s="69" t="s">
        <v>38</v>
      </c>
      <c r="D244" s="69" t="s">
        <v>606</v>
      </c>
      <c r="E244" s="19" t="str">
        <f>IF(A244&lt;&gt;"", IF(COUNTIF(Technical_Evaluations!C:C, A244), "Present", "Absent"), "")</f>
        <v>Absent</v>
      </c>
      <c r="F244" s="19" t="str">
        <f>IF(A244&lt;&gt;"", IF(COUNTIF(Technical_Evaluations!C:C, A244), "Present", "Absent"), "")
</f>
        <v>Absent</v>
      </c>
      <c r="G244" s="20" t="str">
        <f>IFERROR(VLOOKUP(A244, SoftSkills_Evaluations!C:L, 8, FALSE), "")</f>
        <v/>
      </c>
      <c r="H244" s="20" t="str">
        <f>IFERROR(VLOOKUP(A244, Technical_Evaluations!C:L, 7, FALSE), "")
</f>
        <v/>
      </c>
      <c r="I244" s="20">
        <f>IFERROR(VLOOKUP(A244, 'GD Evaluations'!A:G, 7, FALSE), "")</f>
        <v>59</v>
      </c>
      <c r="J244" s="20">
        <f t="shared" si="1"/>
        <v>19.66666667</v>
      </c>
      <c r="K244" s="20">
        <f t="shared" si="2"/>
        <v>29.5</v>
      </c>
    </row>
    <row r="245">
      <c r="A245" s="69" t="s">
        <v>819</v>
      </c>
      <c r="B245" s="69" t="s">
        <v>820</v>
      </c>
      <c r="C245" s="69" t="s">
        <v>51</v>
      </c>
      <c r="D245" s="69" t="s">
        <v>606</v>
      </c>
      <c r="E245" s="19" t="str">
        <f>IF(A245&lt;&gt;"", IF(COUNTIF(Technical_Evaluations!C:C, A245), "Present", "Absent"), "")</f>
        <v>Absent</v>
      </c>
      <c r="F245" s="19" t="str">
        <f>IF(A245&lt;&gt;"", IF(COUNTIF(Technical_Evaluations!C:C, A245), "Present", "Absent"), "")
</f>
        <v>Absent</v>
      </c>
      <c r="G245" s="20" t="str">
        <f>IFERROR(VLOOKUP(A245, SoftSkills_Evaluations!C:L, 8, FALSE), "")</f>
        <v/>
      </c>
      <c r="H245" s="20" t="str">
        <f>IFERROR(VLOOKUP(A245, Technical_Evaluations!C:L, 7, FALSE), "")
</f>
        <v/>
      </c>
      <c r="I245" s="20" t="str">
        <f>IFERROR(VLOOKUP(A245, 'GD Evaluations'!A:G, 7, FALSE), "")</f>
        <v/>
      </c>
      <c r="J245" s="20">
        <f t="shared" si="1"/>
        <v>0</v>
      </c>
      <c r="K245" s="20">
        <f t="shared" si="2"/>
        <v>0</v>
      </c>
    </row>
    <row r="246">
      <c r="A246" s="69" t="s">
        <v>821</v>
      </c>
      <c r="B246" s="69" t="s">
        <v>822</v>
      </c>
      <c r="C246" s="69" t="s">
        <v>51</v>
      </c>
      <c r="D246" s="69" t="s">
        <v>606</v>
      </c>
      <c r="E246" s="19" t="str">
        <f>IF(A246&lt;&gt;"", IF(COUNTIF(Technical_Evaluations!C:C, A246), "Present", "Absent"), "")</f>
        <v>Absent</v>
      </c>
      <c r="F246" s="19" t="str">
        <f>IF(A246&lt;&gt;"", IF(COUNTIF(Technical_Evaluations!C:C, A246), "Present", "Absent"), "")
</f>
        <v>Absent</v>
      </c>
      <c r="G246" s="20" t="str">
        <f>IFERROR(VLOOKUP(A246, SoftSkills_Evaluations!C:L, 8, FALSE), "")</f>
        <v/>
      </c>
      <c r="H246" s="20" t="str">
        <f>IFERROR(VLOOKUP(A246, Technical_Evaluations!C:L, 7, FALSE), "")
</f>
        <v/>
      </c>
      <c r="I246" s="20" t="str">
        <f>IFERROR(VLOOKUP(A246, 'GD Evaluations'!A:G, 7, FALSE), "")</f>
        <v/>
      </c>
      <c r="J246" s="20">
        <f t="shared" si="1"/>
        <v>0</v>
      </c>
      <c r="K246" s="20">
        <f t="shared" si="2"/>
        <v>0</v>
      </c>
    </row>
    <row r="247">
      <c r="A247" s="69" t="s">
        <v>37</v>
      </c>
      <c r="B247" s="69" t="s">
        <v>605</v>
      </c>
      <c r="C247" s="69" t="s">
        <v>51</v>
      </c>
      <c r="D247" s="69" t="s">
        <v>606</v>
      </c>
      <c r="E247" s="19" t="str">
        <f>IF(A247&lt;&gt;"", IF(COUNTIF(Technical_Evaluations!C:C, A247), "Present", "Absent"), "")</f>
        <v>Absent</v>
      </c>
      <c r="F247" s="19" t="str">
        <f>IF(A247&lt;&gt;"", IF(COUNTIF(Technical_Evaluations!C:C, A247), "Present", "Absent"), "")
</f>
        <v>Absent</v>
      </c>
      <c r="G247" s="20" t="str">
        <f>IFERROR(VLOOKUP(A247, SoftSkills_Evaluations!C:L, 8, FALSE), "")</f>
        <v/>
      </c>
      <c r="H247" s="20" t="str">
        <f>IFERROR(VLOOKUP(A247, Technical_Evaluations!C:L, 7, FALSE), "")
</f>
        <v/>
      </c>
      <c r="I247" s="20">
        <f>IFERROR(VLOOKUP(A247, 'GD Evaluations'!A:G, 7, FALSE), "")</f>
        <v>81</v>
      </c>
      <c r="J247" s="20">
        <f t="shared" si="1"/>
        <v>27</v>
      </c>
      <c r="K247" s="20">
        <f t="shared" si="2"/>
        <v>40.5</v>
      </c>
    </row>
    <row r="248">
      <c r="A248" s="69" t="s">
        <v>823</v>
      </c>
      <c r="B248" s="69" t="s">
        <v>824</v>
      </c>
      <c r="C248" s="69" t="s">
        <v>53</v>
      </c>
      <c r="D248" s="69" t="s">
        <v>606</v>
      </c>
      <c r="E248" s="19" t="str">
        <f>IF(A248&lt;&gt;"", IF(COUNTIF(Technical_Evaluations!C:C, A248), "Present", "Absent"), "")</f>
        <v>Absent</v>
      </c>
      <c r="F248" s="19" t="str">
        <f>IF(A248&lt;&gt;"", IF(COUNTIF(Technical_Evaluations!C:C, A248), "Present", "Absent"), "")
</f>
        <v>Absent</v>
      </c>
      <c r="G248" s="20" t="str">
        <f>IFERROR(VLOOKUP(A248, SoftSkills_Evaluations!C:L, 8, FALSE), "")</f>
        <v/>
      </c>
      <c r="H248" s="20" t="str">
        <f>IFERROR(VLOOKUP(A248, Technical_Evaluations!C:L, 7, FALSE), "")
</f>
        <v/>
      </c>
      <c r="I248" s="20" t="str">
        <f>IFERROR(VLOOKUP(A248, 'GD Evaluations'!A:G, 7, FALSE), "")</f>
        <v/>
      </c>
      <c r="J248" s="20">
        <f t="shared" si="1"/>
        <v>0</v>
      </c>
      <c r="K248" s="20">
        <f t="shared" si="2"/>
        <v>0</v>
      </c>
    </row>
    <row r="249">
      <c r="A249" s="69" t="s">
        <v>251</v>
      </c>
      <c r="B249" s="69" t="s">
        <v>518</v>
      </c>
      <c r="C249" s="69" t="s">
        <v>53</v>
      </c>
      <c r="D249" s="69" t="s">
        <v>52</v>
      </c>
      <c r="E249" s="19" t="str">
        <f>IF(A249&lt;&gt;"", IF(COUNTIF(Technical_Evaluations!C:C, A249), "Present", "Absent"), "")</f>
        <v>Absent</v>
      </c>
      <c r="F249" s="19" t="str">
        <f>IF(A249&lt;&gt;"", IF(COUNTIF(Technical_Evaluations!C:C, A249), "Present", "Absent"), "")
</f>
        <v>Absent</v>
      </c>
      <c r="G249" s="20">
        <f>IFERROR(VLOOKUP(A249, SoftSkills_Evaluations!C:L, 8, FALSE), "")</f>
        <v>60</v>
      </c>
      <c r="H249" s="20" t="str">
        <f>IFERROR(VLOOKUP(A249, Technical_Evaluations!C:L, 7, FALSE), "")
</f>
        <v/>
      </c>
      <c r="I249" s="20">
        <f>IFERROR(VLOOKUP(A249, 'GD Evaluations'!A:G, 7, FALSE), "")</f>
        <v>79</v>
      </c>
      <c r="J249" s="20">
        <f t="shared" si="1"/>
        <v>46.33333333</v>
      </c>
      <c r="K249" s="20">
        <f t="shared" si="2"/>
        <v>69.5</v>
      </c>
    </row>
    <row r="250">
      <c r="A250" s="69" t="s">
        <v>825</v>
      </c>
      <c r="B250" s="69" t="s">
        <v>826</v>
      </c>
      <c r="C250" s="69" t="s">
        <v>53</v>
      </c>
      <c r="D250" s="69" t="s">
        <v>52</v>
      </c>
      <c r="E250" s="19" t="str">
        <f>IF(A250&lt;&gt;"", IF(COUNTIF(Technical_Evaluations!C:C, A250), "Present", "Absent"), "")</f>
        <v>Absent</v>
      </c>
      <c r="F250" s="19" t="str">
        <f>IF(A250&lt;&gt;"", IF(COUNTIF(Technical_Evaluations!C:C, A250), "Present", "Absent"), "")
</f>
        <v>Absent</v>
      </c>
      <c r="G250" s="20" t="str">
        <f>IFERROR(VLOOKUP(A250, SoftSkills_Evaluations!C:L, 8, FALSE), "")</f>
        <v/>
      </c>
      <c r="H250" s="20" t="str">
        <f>IFERROR(VLOOKUP(A250, Technical_Evaluations!C:L, 7, FALSE), "")
</f>
        <v/>
      </c>
      <c r="I250" s="20" t="str">
        <f>IFERROR(VLOOKUP(A250, 'GD Evaluations'!A:G, 7, FALSE), "")</f>
        <v/>
      </c>
      <c r="J250" s="20">
        <f t="shared" si="1"/>
        <v>0</v>
      </c>
      <c r="K250" s="20">
        <f t="shared" si="2"/>
        <v>0</v>
      </c>
    </row>
    <row r="251">
      <c r="A251" s="69" t="s">
        <v>108</v>
      </c>
      <c r="B251" s="69" t="s">
        <v>613</v>
      </c>
      <c r="C251" s="69" t="s">
        <v>53</v>
      </c>
      <c r="D251" s="69" t="s">
        <v>52</v>
      </c>
      <c r="E251" s="19" t="str">
        <f>IF(A251&lt;&gt;"", IF(COUNTIF(Technical_Evaluations!C:C, A251), "Present", "Absent"), "")</f>
        <v>Absent</v>
      </c>
      <c r="F251" s="19" t="str">
        <f>IF(A251&lt;&gt;"", IF(COUNTIF(Technical_Evaluations!C:C, A251), "Present", "Absent"), "")
</f>
        <v>Absent</v>
      </c>
      <c r="G251" s="20" t="str">
        <f>IFERROR(VLOOKUP(A251, SoftSkills_Evaluations!C:L, 8, FALSE), "")</f>
        <v/>
      </c>
      <c r="H251" s="20" t="str">
        <f>IFERROR(VLOOKUP(A251, Technical_Evaluations!C:L, 7, FALSE), "")
</f>
        <v/>
      </c>
      <c r="I251" s="20">
        <f>IFERROR(VLOOKUP(A251, 'GD Evaluations'!A:G, 7, FALSE), "")</f>
        <v>72</v>
      </c>
      <c r="J251" s="20">
        <f t="shared" si="1"/>
        <v>24</v>
      </c>
      <c r="K251" s="20">
        <f t="shared" si="2"/>
        <v>36</v>
      </c>
    </row>
    <row r="252">
      <c r="A252" s="69" t="s">
        <v>827</v>
      </c>
      <c r="B252" s="69" t="s">
        <v>828</v>
      </c>
      <c r="C252" s="69" t="s">
        <v>53</v>
      </c>
      <c r="D252" s="69" t="s">
        <v>52</v>
      </c>
      <c r="E252" s="19" t="str">
        <f>IF(A252&lt;&gt;"", IF(COUNTIF(Technical_Evaluations!C:C, A252), "Present", "Absent"), "")</f>
        <v>Absent</v>
      </c>
      <c r="F252" s="19" t="str">
        <f>IF(A252&lt;&gt;"", IF(COUNTIF(Technical_Evaluations!C:C, A252), "Present", "Absent"), "")
</f>
        <v>Absent</v>
      </c>
      <c r="G252" s="20" t="str">
        <f>IFERROR(VLOOKUP(A252, SoftSkills_Evaluations!C:L, 8, FALSE), "")</f>
        <v/>
      </c>
      <c r="H252" s="20" t="str">
        <f>IFERROR(VLOOKUP(A252, Technical_Evaluations!C:L, 7, FALSE), "")
</f>
        <v/>
      </c>
      <c r="I252" s="20" t="str">
        <f>IFERROR(VLOOKUP(A252, 'GD Evaluations'!A:G, 7, FALSE), "")</f>
        <v/>
      </c>
      <c r="J252" s="20">
        <f t="shared" si="1"/>
        <v>0</v>
      </c>
      <c r="K252" s="20">
        <f t="shared" si="2"/>
        <v>0</v>
      </c>
    </row>
    <row r="253">
      <c r="A253" s="69" t="s">
        <v>829</v>
      </c>
      <c r="B253" s="69" t="s">
        <v>830</v>
      </c>
      <c r="C253" s="69" t="s">
        <v>53</v>
      </c>
      <c r="D253" s="69" t="s">
        <v>52</v>
      </c>
      <c r="E253" s="19" t="str">
        <f>IF(A253&lt;&gt;"", IF(COUNTIF(Technical_Evaluations!C:C, A253), "Present", "Absent"), "")</f>
        <v>Absent</v>
      </c>
      <c r="F253" s="19" t="str">
        <f>IF(A253&lt;&gt;"", IF(COUNTIF(Technical_Evaluations!C:C, A253), "Present", "Absent"), "")
</f>
        <v>Absent</v>
      </c>
      <c r="G253" s="20" t="str">
        <f>IFERROR(VLOOKUP(A253, SoftSkills_Evaluations!C:L, 8, FALSE), "")</f>
        <v/>
      </c>
      <c r="H253" s="20" t="str">
        <f>IFERROR(VLOOKUP(A253, Technical_Evaluations!C:L, 7, FALSE), "")
</f>
        <v/>
      </c>
      <c r="I253" s="20" t="str">
        <f>IFERROR(VLOOKUP(A253, 'GD Evaluations'!A:G, 7, FALSE), "")</f>
        <v/>
      </c>
      <c r="J253" s="20">
        <f t="shared" si="1"/>
        <v>0</v>
      </c>
      <c r="K253" s="20">
        <f t="shared" si="2"/>
        <v>0</v>
      </c>
    </row>
    <row r="254">
      <c r="A254" s="69" t="s">
        <v>102</v>
      </c>
      <c r="B254" s="69" t="s">
        <v>609</v>
      </c>
      <c r="C254" s="69" t="s">
        <v>53</v>
      </c>
      <c r="D254" s="69" t="s">
        <v>52</v>
      </c>
      <c r="E254" s="19" t="str">
        <f>IF(A254&lt;&gt;"", IF(COUNTIF(Technical_Evaluations!C:C, A254), "Present", "Absent"), "")</f>
        <v>Absent</v>
      </c>
      <c r="F254" s="19" t="str">
        <f>IF(A254&lt;&gt;"", IF(COUNTIF(Technical_Evaluations!C:C, A254), "Present", "Absent"), "")
</f>
        <v>Absent</v>
      </c>
      <c r="G254" s="20" t="str">
        <f>IFERROR(VLOOKUP(A254, SoftSkills_Evaluations!C:L, 8, FALSE), "")</f>
        <v/>
      </c>
      <c r="H254" s="20" t="str">
        <f>IFERROR(VLOOKUP(A254, Technical_Evaluations!C:L, 7, FALSE), "")
</f>
        <v/>
      </c>
      <c r="I254" s="20">
        <f>IFERROR(VLOOKUP(A254, 'GD Evaluations'!A:G, 7, FALSE), "")</f>
        <v>73</v>
      </c>
      <c r="J254" s="20">
        <f t="shared" si="1"/>
        <v>24.33333333</v>
      </c>
      <c r="K254" s="20">
        <f t="shared" si="2"/>
        <v>36.5</v>
      </c>
    </row>
    <row r="255">
      <c r="A255" s="69" t="s">
        <v>254</v>
      </c>
      <c r="B255" s="69" t="s">
        <v>527</v>
      </c>
      <c r="C255" s="69" t="s">
        <v>53</v>
      </c>
      <c r="D255" s="69" t="s">
        <v>52</v>
      </c>
      <c r="E255" s="19" t="str">
        <f>IF(A255&lt;&gt;"", IF(COUNTIF(Technical_Evaluations!C:C, A255), "Present", "Absent"), "")</f>
        <v>Present</v>
      </c>
      <c r="F255" s="19" t="str">
        <f>IF(A255&lt;&gt;"", IF(COUNTIF(Technical_Evaluations!C:C, A255), "Present", "Absent"), "")
</f>
        <v>Present</v>
      </c>
      <c r="G255" s="20" t="str">
        <f>IFERROR(VLOOKUP(A255, SoftSkills_Evaluations!C:L, 8, FALSE), "")</f>
        <v/>
      </c>
      <c r="H255" s="20">
        <f>IFERROR(VLOOKUP(A255, Technical_Evaluations!C:L, 7, FALSE), "")
</f>
        <v>75.2</v>
      </c>
      <c r="I255" s="20">
        <f>IFERROR(VLOOKUP(A255, 'GD Evaluations'!A:G, 7, FALSE), "")</f>
        <v>72</v>
      </c>
      <c r="J255" s="20">
        <f t="shared" si="1"/>
        <v>49.06666667</v>
      </c>
      <c r="K255" s="20">
        <f t="shared" si="2"/>
        <v>36</v>
      </c>
    </row>
    <row r="256">
      <c r="A256" s="69" t="s">
        <v>243</v>
      </c>
      <c r="B256" s="69" t="s">
        <v>267</v>
      </c>
      <c r="C256" s="69" t="s">
        <v>53</v>
      </c>
      <c r="D256" s="69" t="s">
        <v>52</v>
      </c>
      <c r="E256" s="19" t="str">
        <f>IF(A256&lt;&gt;"", IF(COUNTIF(Technical_Evaluations!C:C, A256), "Present", "Absent"), "")</f>
        <v>Present</v>
      </c>
      <c r="F256" s="19" t="str">
        <f>IF(A256&lt;&gt;"", IF(COUNTIF(Technical_Evaluations!C:C, A256), "Present", "Absent"), "")
</f>
        <v>Present</v>
      </c>
      <c r="G256" s="20">
        <f>IFERROR(VLOOKUP(A256, SoftSkills_Evaluations!C:L, 8, FALSE), "")</f>
        <v>72.4</v>
      </c>
      <c r="H256" s="20">
        <f>IFERROR(VLOOKUP(A256, Technical_Evaluations!C:L, 7, FALSE), "")
</f>
        <v>74</v>
      </c>
      <c r="I256" s="20">
        <f>IFERROR(VLOOKUP(A256, 'GD Evaluations'!A:G, 7, FALSE), "")</f>
        <v>50</v>
      </c>
      <c r="J256" s="20">
        <f t="shared" si="1"/>
        <v>65.46666667</v>
      </c>
      <c r="K256" s="20">
        <f t="shared" si="2"/>
        <v>61.2</v>
      </c>
    </row>
    <row r="257">
      <c r="A257" s="69" t="s">
        <v>151</v>
      </c>
      <c r="B257" s="69" t="s">
        <v>625</v>
      </c>
      <c r="C257" s="69" t="s">
        <v>53</v>
      </c>
      <c r="D257" s="69" t="s">
        <v>52</v>
      </c>
      <c r="E257" s="19" t="str">
        <f>IF(A257&lt;&gt;"", IF(COUNTIF(Technical_Evaluations!C:C, A257), "Present", "Absent"), "")</f>
        <v>Absent</v>
      </c>
      <c r="F257" s="19" t="str">
        <f>IF(A257&lt;&gt;"", IF(COUNTIF(Technical_Evaluations!C:C, A257), "Present", "Absent"), "")
</f>
        <v>Absent</v>
      </c>
      <c r="G257" s="20" t="str">
        <f>IFERROR(VLOOKUP(A257, SoftSkills_Evaluations!C:L, 8, FALSE), "")</f>
        <v/>
      </c>
      <c r="H257" s="20" t="str">
        <f>IFERROR(VLOOKUP(A257, Technical_Evaluations!C:L, 7, FALSE), "")
</f>
        <v/>
      </c>
      <c r="I257" s="20">
        <f>IFERROR(VLOOKUP(A257, 'GD Evaluations'!A:G, 7, FALSE), "")</f>
        <v>57</v>
      </c>
      <c r="J257" s="20">
        <f t="shared" si="1"/>
        <v>19</v>
      </c>
      <c r="K257" s="20">
        <f t="shared" si="2"/>
        <v>28.5</v>
      </c>
    </row>
    <row r="258">
      <c r="A258" s="69" t="s">
        <v>115</v>
      </c>
      <c r="B258" s="69" t="s">
        <v>608</v>
      </c>
      <c r="C258" s="69" t="s">
        <v>53</v>
      </c>
      <c r="D258" s="69" t="s">
        <v>52</v>
      </c>
      <c r="E258" s="19" t="str">
        <f>IF(A258&lt;&gt;"", IF(COUNTIF(Technical_Evaluations!C:C, A258), "Present", "Absent"), "")</f>
        <v>Absent</v>
      </c>
      <c r="F258" s="19" t="str">
        <f>IF(A258&lt;&gt;"", IF(COUNTIF(Technical_Evaluations!C:C, A258), "Present", "Absent"), "")
</f>
        <v>Absent</v>
      </c>
      <c r="G258" s="20" t="str">
        <f>IFERROR(VLOOKUP(A258, SoftSkills_Evaluations!C:L, 8, FALSE), "")</f>
        <v/>
      </c>
      <c r="H258" s="20" t="str">
        <f>IFERROR(VLOOKUP(A258, Technical_Evaluations!C:L, 7, FALSE), "")
</f>
        <v/>
      </c>
      <c r="I258" s="20">
        <f>IFERROR(VLOOKUP(A258, 'GD Evaluations'!A:G, 7, FALSE), "")</f>
        <v>78</v>
      </c>
      <c r="J258" s="20">
        <f t="shared" si="1"/>
        <v>26</v>
      </c>
      <c r="K258" s="20">
        <f t="shared" si="2"/>
        <v>39</v>
      </c>
    </row>
    <row r="259">
      <c r="A259" s="69" t="s">
        <v>831</v>
      </c>
      <c r="B259" s="69" t="s">
        <v>832</v>
      </c>
      <c r="C259" s="69" t="s">
        <v>53</v>
      </c>
      <c r="D259" s="69" t="s">
        <v>52</v>
      </c>
      <c r="E259" s="19" t="str">
        <f>IF(A259&lt;&gt;"", IF(COUNTIF(Technical_Evaluations!C:C, A259), "Present", "Absent"), "")</f>
        <v>Absent</v>
      </c>
      <c r="F259" s="19" t="str">
        <f>IF(A259&lt;&gt;"", IF(COUNTIF(Technical_Evaluations!C:C, A259), "Present", "Absent"), "")
</f>
        <v>Absent</v>
      </c>
      <c r="G259" s="20" t="str">
        <f>IFERROR(VLOOKUP(A259, SoftSkills_Evaluations!C:L, 8, FALSE), "")</f>
        <v/>
      </c>
      <c r="H259" s="20" t="str">
        <f>IFERROR(VLOOKUP(A259, Technical_Evaluations!C:L, 7, FALSE), "")
</f>
        <v/>
      </c>
      <c r="I259" s="20" t="str">
        <f>IFERROR(VLOOKUP(A259, 'GD Evaluations'!A:G, 7, FALSE), "")</f>
        <v/>
      </c>
      <c r="J259" s="20">
        <f t="shared" si="1"/>
        <v>0</v>
      </c>
      <c r="K259" s="20">
        <f t="shared" si="2"/>
        <v>0</v>
      </c>
    </row>
    <row r="260">
      <c r="A260" s="69" t="s">
        <v>833</v>
      </c>
      <c r="B260" s="69" t="s">
        <v>834</v>
      </c>
      <c r="C260" s="69" t="s">
        <v>53</v>
      </c>
      <c r="D260" s="69" t="s">
        <v>52</v>
      </c>
      <c r="E260" s="19" t="str">
        <f>IF(A260&lt;&gt;"", IF(COUNTIF(Technical_Evaluations!C:C, A260), "Present", "Absent"), "")</f>
        <v>Absent</v>
      </c>
      <c r="F260" s="19" t="str">
        <f>IF(A260&lt;&gt;"", IF(COUNTIF(Technical_Evaluations!C:C, A260), "Present", "Absent"), "")
</f>
        <v>Absent</v>
      </c>
      <c r="G260" s="20" t="str">
        <f>IFERROR(VLOOKUP(A260, SoftSkills_Evaluations!C:L, 8, FALSE), "")</f>
        <v/>
      </c>
      <c r="H260" s="20" t="str">
        <f>IFERROR(VLOOKUP(A260, Technical_Evaluations!C:L, 7, FALSE), "")
</f>
        <v/>
      </c>
      <c r="I260" s="20" t="str">
        <f>IFERROR(VLOOKUP(A260, 'GD Evaluations'!A:G, 7, FALSE), "")</f>
        <v/>
      </c>
      <c r="J260" s="20">
        <f t="shared" si="1"/>
        <v>0</v>
      </c>
      <c r="K260" s="20">
        <f t="shared" si="2"/>
        <v>0</v>
      </c>
    </row>
    <row r="261">
      <c r="A261" s="69" t="s">
        <v>238</v>
      </c>
      <c r="B261" s="69" t="s">
        <v>631</v>
      </c>
      <c r="C261" s="69" t="s">
        <v>53</v>
      </c>
      <c r="D261" s="69" t="s">
        <v>52</v>
      </c>
      <c r="E261" s="19" t="str">
        <f>IF(A261&lt;&gt;"", IF(COUNTIF(Technical_Evaluations!C:C, A261), "Present", "Absent"), "")</f>
        <v>Absent</v>
      </c>
      <c r="F261" s="19" t="str">
        <f>IF(A261&lt;&gt;"", IF(COUNTIF(Technical_Evaluations!C:C, A261), "Present", "Absent"), "")
</f>
        <v>Absent</v>
      </c>
      <c r="G261" s="20" t="str">
        <f>IFERROR(VLOOKUP(A261, SoftSkills_Evaluations!C:L, 8, FALSE), "")</f>
        <v/>
      </c>
      <c r="H261" s="20" t="str">
        <f>IFERROR(VLOOKUP(A261, Technical_Evaluations!C:L, 7, FALSE), "")
</f>
        <v/>
      </c>
      <c r="I261" s="20">
        <f>IFERROR(VLOOKUP(A261, 'GD Evaluations'!A:G, 7, FALSE), "")</f>
        <v>19</v>
      </c>
      <c r="J261" s="20">
        <f t="shared" si="1"/>
        <v>6.333333333</v>
      </c>
      <c r="K261" s="20">
        <f t="shared" si="2"/>
        <v>9.5</v>
      </c>
    </row>
    <row r="262">
      <c r="A262" s="69" t="s">
        <v>835</v>
      </c>
      <c r="B262" s="69" t="s">
        <v>836</v>
      </c>
      <c r="C262" s="69" t="s">
        <v>53</v>
      </c>
      <c r="D262" s="69" t="s">
        <v>52</v>
      </c>
      <c r="E262" s="19" t="str">
        <f>IF(A262&lt;&gt;"", IF(COUNTIF(Technical_Evaluations!C:C, A262), "Present", "Absent"), "")</f>
        <v>Absent</v>
      </c>
      <c r="F262" s="19" t="str">
        <f>IF(A262&lt;&gt;"", IF(COUNTIF(Technical_Evaluations!C:C, A262), "Present", "Absent"), "")
</f>
        <v>Absent</v>
      </c>
      <c r="G262" s="20" t="str">
        <f>IFERROR(VLOOKUP(A262, SoftSkills_Evaluations!C:L, 8, FALSE), "")</f>
        <v/>
      </c>
      <c r="H262" s="20" t="str">
        <f>IFERROR(VLOOKUP(A262, Technical_Evaluations!C:L, 7, FALSE), "")
</f>
        <v/>
      </c>
      <c r="I262" s="20" t="str">
        <f>IFERROR(VLOOKUP(A262, 'GD Evaluations'!A:G, 7, FALSE), "")</f>
        <v/>
      </c>
      <c r="J262" s="20">
        <f t="shared" si="1"/>
        <v>0</v>
      </c>
      <c r="K262" s="20">
        <f t="shared" si="2"/>
        <v>0</v>
      </c>
    </row>
    <row r="263">
      <c r="A263" s="69" t="s">
        <v>106</v>
      </c>
      <c r="B263" s="69" t="s">
        <v>273</v>
      </c>
      <c r="C263" s="69" t="s">
        <v>53</v>
      </c>
      <c r="D263" s="69" t="s">
        <v>52</v>
      </c>
      <c r="E263" s="19" t="str">
        <f>IF(A263&lt;&gt;"", IF(COUNTIF(Technical_Evaluations!C:C, A263), "Present", "Absent"), "")</f>
        <v>Present</v>
      </c>
      <c r="F263" s="19" t="str">
        <f>IF(A263&lt;&gt;"", IF(COUNTIF(Technical_Evaluations!C:C, A263), "Present", "Absent"), "")
</f>
        <v>Present</v>
      </c>
      <c r="G263" s="20" t="str">
        <f>IFERROR(VLOOKUP(A263, SoftSkills_Evaluations!C:L, 8, FALSE), "")</f>
        <v/>
      </c>
      <c r="H263" s="20">
        <f>IFERROR(VLOOKUP(A263, Technical_Evaluations!C:L, 7, FALSE), "")
</f>
        <v>74</v>
      </c>
      <c r="I263" s="20">
        <f>IFERROR(VLOOKUP(A263, 'GD Evaluations'!A:G, 7, FALSE), "")</f>
        <v>61</v>
      </c>
      <c r="J263" s="20">
        <f t="shared" si="1"/>
        <v>45</v>
      </c>
      <c r="K263" s="20">
        <f t="shared" si="2"/>
        <v>30.5</v>
      </c>
    </row>
    <row r="264">
      <c r="A264" s="69" t="s">
        <v>139</v>
      </c>
      <c r="B264" s="69" t="s">
        <v>513</v>
      </c>
      <c r="C264" s="69" t="s">
        <v>53</v>
      </c>
      <c r="D264" s="69" t="s">
        <v>52</v>
      </c>
      <c r="E264" s="19" t="str">
        <f>IF(A264&lt;&gt;"", IF(COUNTIF(Technical_Evaluations!C:C, A264), "Present", "Absent"), "")</f>
        <v>Absent</v>
      </c>
      <c r="F264" s="19" t="str">
        <f>IF(A264&lt;&gt;"", IF(COUNTIF(Technical_Evaluations!C:C, A264), "Present", "Absent"), "")
</f>
        <v>Absent</v>
      </c>
      <c r="G264" s="20">
        <f>IFERROR(VLOOKUP(A264, SoftSkills_Evaluations!C:L, 8, FALSE), "")</f>
        <v>73.6</v>
      </c>
      <c r="H264" s="20" t="str">
        <f>IFERROR(VLOOKUP(A264, Technical_Evaluations!C:L, 7, FALSE), "")
</f>
        <v/>
      </c>
      <c r="I264" s="20">
        <f>IFERROR(VLOOKUP(A264, 'GD Evaluations'!A:G, 7, FALSE), "")</f>
        <v>82</v>
      </c>
      <c r="J264" s="20">
        <f t="shared" si="1"/>
        <v>51.86666667</v>
      </c>
      <c r="K264" s="20">
        <f t="shared" si="2"/>
        <v>77.8</v>
      </c>
    </row>
    <row r="265">
      <c r="A265" s="69" t="s">
        <v>837</v>
      </c>
      <c r="B265" s="69" t="s">
        <v>838</v>
      </c>
      <c r="C265" s="69" t="s">
        <v>53</v>
      </c>
      <c r="D265" s="69" t="s">
        <v>52</v>
      </c>
      <c r="E265" s="19" t="str">
        <f>IF(A265&lt;&gt;"", IF(COUNTIF(Technical_Evaluations!C:C, A265), "Present", "Absent"), "")</f>
        <v>Absent</v>
      </c>
      <c r="F265" s="19" t="str">
        <f>IF(A265&lt;&gt;"", IF(COUNTIF(Technical_Evaluations!C:C, A265), "Present", "Absent"), "")
</f>
        <v>Absent</v>
      </c>
      <c r="G265" s="20" t="str">
        <f>IFERROR(VLOOKUP(A265, SoftSkills_Evaluations!C:L, 8, FALSE), "")</f>
        <v/>
      </c>
      <c r="H265" s="20" t="str">
        <f>IFERROR(VLOOKUP(A265, Technical_Evaluations!C:L, 7, FALSE), "")
</f>
        <v/>
      </c>
      <c r="I265" s="20" t="str">
        <f>IFERROR(VLOOKUP(A265, 'GD Evaluations'!A:G, 7, FALSE), "")</f>
        <v/>
      </c>
      <c r="J265" s="20">
        <f t="shared" si="1"/>
        <v>0</v>
      </c>
      <c r="K265" s="20">
        <f t="shared" si="2"/>
        <v>0</v>
      </c>
    </row>
    <row r="266">
      <c r="A266" s="69" t="s">
        <v>839</v>
      </c>
      <c r="B266" s="69" t="s">
        <v>840</v>
      </c>
      <c r="C266" s="69" t="s">
        <v>53</v>
      </c>
      <c r="D266" s="69" t="s">
        <v>52</v>
      </c>
      <c r="E266" s="19" t="str">
        <f>IF(A266&lt;&gt;"", IF(COUNTIF(Technical_Evaluations!C:C, A266), "Present", "Absent"), "")</f>
        <v>Absent</v>
      </c>
      <c r="F266" s="19" t="str">
        <f>IF(A266&lt;&gt;"", IF(COUNTIF(Technical_Evaluations!C:C, A266), "Present", "Absent"), "")
</f>
        <v>Absent</v>
      </c>
      <c r="G266" s="20" t="str">
        <f>IFERROR(VLOOKUP(A266, SoftSkills_Evaluations!C:L, 8, FALSE), "")</f>
        <v/>
      </c>
      <c r="H266" s="20" t="str">
        <f>IFERROR(VLOOKUP(A266, Technical_Evaluations!C:L, 7, FALSE), "")
</f>
        <v/>
      </c>
      <c r="I266" s="20" t="str">
        <f>IFERROR(VLOOKUP(A266, 'GD Evaluations'!A:G, 7, FALSE), "")</f>
        <v/>
      </c>
      <c r="J266" s="20">
        <f t="shared" si="1"/>
        <v>0</v>
      </c>
      <c r="K266" s="20">
        <f t="shared" si="2"/>
        <v>0</v>
      </c>
    </row>
    <row r="267">
      <c r="A267" s="69" t="s">
        <v>841</v>
      </c>
      <c r="B267" s="69" t="s">
        <v>842</v>
      </c>
      <c r="C267" s="69" t="s">
        <v>53</v>
      </c>
      <c r="D267" s="69" t="s">
        <v>52</v>
      </c>
      <c r="E267" s="19" t="str">
        <f>IF(A267&lt;&gt;"", IF(COUNTIF(Technical_Evaluations!C:C, A267), "Present", "Absent"), "")</f>
        <v>Absent</v>
      </c>
      <c r="F267" s="19" t="str">
        <f>IF(A267&lt;&gt;"", IF(COUNTIF(Technical_Evaluations!C:C, A267), "Present", "Absent"), "")
</f>
        <v>Absent</v>
      </c>
      <c r="G267" s="20" t="str">
        <f>IFERROR(VLOOKUP(A267, SoftSkills_Evaluations!C:L, 8, FALSE), "")</f>
        <v/>
      </c>
      <c r="H267" s="20" t="str">
        <f>IFERROR(VLOOKUP(A267, Technical_Evaluations!C:L, 7, FALSE), "")
</f>
        <v/>
      </c>
      <c r="I267" s="20" t="str">
        <f>IFERROR(VLOOKUP(A267, 'GD Evaluations'!A:G, 7, FALSE), "")</f>
        <v/>
      </c>
      <c r="J267" s="20">
        <f t="shared" si="1"/>
        <v>0</v>
      </c>
      <c r="K267" s="20">
        <f t="shared" si="2"/>
        <v>0</v>
      </c>
    </row>
    <row r="268">
      <c r="A268" s="69" t="s">
        <v>112</v>
      </c>
      <c r="B268" s="69" t="s">
        <v>275</v>
      </c>
      <c r="C268" s="69" t="s">
        <v>53</v>
      </c>
      <c r="D268" s="69" t="s">
        <v>52</v>
      </c>
      <c r="E268" s="19" t="str">
        <f>IF(A268&lt;&gt;"", IF(COUNTIF(Technical_Evaluations!C:C, A268), "Present", "Absent"), "")</f>
        <v>Present</v>
      </c>
      <c r="F268" s="19" t="str">
        <f>IF(A268&lt;&gt;"", IF(COUNTIF(Technical_Evaluations!C:C, A268), "Present", "Absent"), "")
</f>
        <v>Present</v>
      </c>
      <c r="G268" s="20">
        <f>IFERROR(VLOOKUP(A268, SoftSkills_Evaluations!C:L, 8, FALSE), "")</f>
        <v>69.4</v>
      </c>
      <c r="H268" s="20">
        <f>IFERROR(VLOOKUP(A268, Technical_Evaluations!C:L, 7, FALSE), "")
</f>
        <v>69</v>
      </c>
      <c r="I268" s="20">
        <f>IFERROR(VLOOKUP(A268, 'GD Evaluations'!A:G, 7, FALSE), "")</f>
        <v>46</v>
      </c>
      <c r="J268" s="20">
        <f t="shared" si="1"/>
        <v>61.46666667</v>
      </c>
      <c r="K268" s="20">
        <f t="shared" si="2"/>
        <v>57.7</v>
      </c>
    </row>
    <row r="269">
      <c r="A269" s="69" t="s">
        <v>843</v>
      </c>
      <c r="B269" s="69" t="s">
        <v>844</v>
      </c>
      <c r="C269" s="69" t="s">
        <v>53</v>
      </c>
      <c r="D269" s="69" t="s">
        <v>52</v>
      </c>
      <c r="E269" s="19" t="str">
        <f>IF(A269&lt;&gt;"", IF(COUNTIF(Technical_Evaluations!C:C, A269), "Present", "Absent"), "")</f>
        <v>Absent</v>
      </c>
      <c r="F269" s="19" t="str">
        <f>IF(A269&lt;&gt;"", IF(COUNTIF(Technical_Evaluations!C:C, A269), "Present", "Absent"), "")
</f>
        <v>Absent</v>
      </c>
      <c r="G269" s="20" t="str">
        <f>IFERROR(VLOOKUP(A269, SoftSkills_Evaluations!C:L, 8, FALSE), "")</f>
        <v/>
      </c>
      <c r="H269" s="20" t="str">
        <f>IFERROR(VLOOKUP(A269, Technical_Evaluations!C:L, 7, FALSE), "")
</f>
        <v/>
      </c>
      <c r="I269" s="20" t="str">
        <f>IFERROR(VLOOKUP(A269, 'GD Evaluations'!A:G, 7, FALSE), "")</f>
        <v/>
      </c>
      <c r="J269" s="20">
        <f t="shared" si="1"/>
        <v>0</v>
      </c>
      <c r="K269" s="20">
        <f t="shared" si="2"/>
        <v>0</v>
      </c>
    </row>
    <row r="270">
      <c r="A270" s="69" t="s">
        <v>845</v>
      </c>
      <c r="B270" s="69" t="s">
        <v>846</v>
      </c>
      <c r="C270" s="69" t="s">
        <v>53</v>
      </c>
      <c r="D270" s="69" t="s">
        <v>52</v>
      </c>
      <c r="E270" s="19" t="str">
        <f>IF(A270&lt;&gt;"", IF(COUNTIF(Technical_Evaluations!C:C, A270), "Present", "Absent"), "")</f>
        <v>Absent</v>
      </c>
      <c r="F270" s="19" t="str">
        <f>IF(A270&lt;&gt;"", IF(COUNTIF(Technical_Evaluations!C:C, A270), "Present", "Absent"), "")
</f>
        <v>Absent</v>
      </c>
      <c r="G270" s="20" t="str">
        <f>IFERROR(VLOOKUP(A270, SoftSkills_Evaluations!C:L, 8, FALSE), "")</f>
        <v/>
      </c>
      <c r="H270" s="20" t="str">
        <f>IFERROR(VLOOKUP(A270, Technical_Evaluations!C:L, 7, FALSE), "")
</f>
        <v/>
      </c>
      <c r="I270" s="20" t="str">
        <f>IFERROR(VLOOKUP(A270, 'GD Evaluations'!A:G, 7, FALSE), "")</f>
        <v/>
      </c>
      <c r="J270" s="20">
        <f t="shared" si="1"/>
        <v>0</v>
      </c>
      <c r="K270" s="20">
        <f t="shared" si="2"/>
        <v>0</v>
      </c>
    </row>
    <row r="271">
      <c r="A271" s="69" t="s">
        <v>629</v>
      </c>
      <c r="B271" s="69" t="s">
        <v>280</v>
      </c>
      <c r="C271" s="69" t="s">
        <v>53</v>
      </c>
      <c r="D271" s="69" t="s">
        <v>52</v>
      </c>
      <c r="E271" s="19" t="str">
        <f>IF(A271&lt;&gt;"", IF(COUNTIF(Technical_Evaluations!C:C, A271), "Present", "Absent"), "")</f>
        <v>Absent</v>
      </c>
      <c r="F271" s="19" t="str">
        <f>IF(A271&lt;&gt;"", IF(COUNTIF(Technical_Evaluations!C:C, A271), "Present", "Absent"), "")
</f>
        <v>Absent</v>
      </c>
      <c r="G271" s="20">
        <f>IFERROR(VLOOKUP(A271, SoftSkills_Evaluations!C:L, 8, FALSE), "")</f>
        <v>54.6</v>
      </c>
      <c r="H271" s="20" t="str">
        <f>IFERROR(VLOOKUP(A271, Technical_Evaluations!C:L, 7, FALSE), "")
</f>
        <v/>
      </c>
      <c r="I271" s="20" t="str">
        <f>IFERROR(VLOOKUP(A271, 'GD Evaluations'!A:G, 7, FALSE), "")</f>
        <v/>
      </c>
      <c r="J271" s="20">
        <f t="shared" si="1"/>
        <v>18.2</v>
      </c>
      <c r="K271" s="20">
        <f t="shared" si="2"/>
        <v>27.3</v>
      </c>
    </row>
    <row r="272">
      <c r="A272" s="69" t="s">
        <v>259</v>
      </c>
      <c r="B272" s="69" t="s">
        <v>286</v>
      </c>
      <c r="C272" s="69" t="s">
        <v>53</v>
      </c>
      <c r="D272" s="69" t="s">
        <v>52</v>
      </c>
      <c r="E272" s="19" t="str">
        <f>IF(A272&lt;&gt;"", IF(COUNTIF(Technical_Evaluations!C:C, A272), "Present", "Absent"), "")</f>
        <v>Present</v>
      </c>
      <c r="F272" s="19" t="str">
        <f>IF(A272&lt;&gt;"", IF(COUNTIF(Technical_Evaluations!C:C, A272), "Present", "Absent"), "")
</f>
        <v>Present</v>
      </c>
      <c r="G272" s="20">
        <f>IFERROR(VLOOKUP(A272, SoftSkills_Evaluations!C:L, 8, FALSE), "")</f>
        <v>62</v>
      </c>
      <c r="H272" s="20">
        <f>IFERROR(VLOOKUP(A272, Technical_Evaluations!C:L, 7, FALSE), "")
</f>
        <v>62</v>
      </c>
      <c r="I272" s="20">
        <f>IFERROR(VLOOKUP(A272, 'GD Evaluations'!A:G, 7, FALSE), "")</f>
        <v>42</v>
      </c>
      <c r="J272" s="20">
        <f t="shared" si="1"/>
        <v>55.33333333</v>
      </c>
      <c r="K272" s="20">
        <f t="shared" si="2"/>
        <v>52</v>
      </c>
    </row>
    <row r="273">
      <c r="A273" s="69" t="s">
        <v>163</v>
      </c>
      <c r="B273" s="69" t="s">
        <v>539</v>
      </c>
      <c r="C273" s="69" t="s">
        <v>53</v>
      </c>
      <c r="D273" s="69" t="s">
        <v>52</v>
      </c>
      <c r="E273" s="19" t="str">
        <f>IF(A273&lt;&gt;"", IF(COUNTIF(Technical_Evaluations!C:C, A273), "Present", "Absent"), "")</f>
        <v>Present</v>
      </c>
      <c r="F273" s="19" t="str">
        <f>IF(A273&lt;&gt;"", IF(COUNTIF(Technical_Evaluations!C:C, A273), "Present", "Absent"), "")
</f>
        <v>Present</v>
      </c>
      <c r="G273" s="20">
        <f>IFERROR(VLOOKUP(A273, SoftSkills_Evaluations!C:L, 8, FALSE), "")</f>
        <v>60</v>
      </c>
      <c r="H273" s="20">
        <f>IFERROR(VLOOKUP(A273, Technical_Evaluations!C:L, 7, FALSE), "")
</f>
        <v>74.6</v>
      </c>
      <c r="I273" s="20">
        <f>IFERROR(VLOOKUP(A273, 'GD Evaluations'!A:G, 7, FALSE), "")</f>
        <v>39</v>
      </c>
      <c r="J273" s="20">
        <f t="shared" si="1"/>
        <v>57.86666667</v>
      </c>
      <c r="K273" s="20">
        <f t="shared" si="2"/>
        <v>49.5</v>
      </c>
    </row>
    <row r="274">
      <c r="A274" s="69" t="s">
        <v>291</v>
      </c>
      <c r="B274" s="69" t="s">
        <v>290</v>
      </c>
      <c r="C274" s="69" t="s">
        <v>53</v>
      </c>
      <c r="D274" s="69" t="s">
        <v>52</v>
      </c>
      <c r="E274" s="19" t="str">
        <f>IF(A274&lt;&gt;"", IF(COUNTIF(Technical_Evaluations!C:C, A274), "Present", "Absent"), "")</f>
        <v>Present</v>
      </c>
      <c r="F274" s="19" t="str">
        <f>IF(A274&lt;&gt;"", IF(COUNTIF(Technical_Evaluations!C:C, A274), "Present", "Absent"), "")
</f>
        <v>Present</v>
      </c>
      <c r="G274" s="20">
        <f>IFERROR(VLOOKUP(A274, SoftSkills_Evaluations!C:L, 8, FALSE), "")</f>
        <v>62.6</v>
      </c>
      <c r="H274" s="20">
        <f>IFERROR(VLOOKUP(A274, Technical_Evaluations!C:L, 7, FALSE), "")
</f>
        <v>76</v>
      </c>
      <c r="I274" s="20">
        <f>IFERROR(VLOOKUP(A274, 'GD Evaluations'!A:G, 7, FALSE), "")</f>
        <v>78</v>
      </c>
      <c r="J274" s="20">
        <f t="shared" si="1"/>
        <v>72.2</v>
      </c>
      <c r="K274" s="20">
        <f t="shared" si="2"/>
        <v>70.3</v>
      </c>
    </row>
    <row r="275">
      <c r="A275" s="69" t="s">
        <v>847</v>
      </c>
      <c r="B275" s="69" t="s">
        <v>848</v>
      </c>
      <c r="C275" s="69" t="s">
        <v>53</v>
      </c>
      <c r="D275" s="69" t="s">
        <v>52</v>
      </c>
      <c r="E275" s="19" t="str">
        <f>IF(A275&lt;&gt;"", IF(COUNTIF(Technical_Evaluations!C:C, A275), "Present", "Absent"), "")</f>
        <v>Absent</v>
      </c>
      <c r="F275" s="19" t="str">
        <f>IF(A275&lt;&gt;"", IF(COUNTIF(Technical_Evaluations!C:C, A275), "Present", "Absent"), "")
</f>
        <v>Absent</v>
      </c>
      <c r="G275" s="20" t="str">
        <f>IFERROR(VLOOKUP(A275, SoftSkills_Evaluations!C:L, 8, FALSE), "")</f>
        <v/>
      </c>
      <c r="H275" s="20" t="str">
        <f>IFERROR(VLOOKUP(A275, Technical_Evaluations!C:L, 7, FALSE), "")
</f>
        <v/>
      </c>
      <c r="I275" s="20" t="str">
        <f>IFERROR(VLOOKUP(A275, 'GD Evaluations'!A:G, 7, FALSE), "")</f>
        <v/>
      </c>
      <c r="J275" s="20">
        <f t="shared" si="1"/>
        <v>0</v>
      </c>
      <c r="K275" s="20">
        <f t="shared" si="2"/>
        <v>0</v>
      </c>
    </row>
    <row r="276">
      <c r="A276" s="69" t="s">
        <v>849</v>
      </c>
      <c r="B276" s="69" t="s">
        <v>850</v>
      </c>
      <c r="C276" s="69" t="s">
        <v>53</v>
      </c>
      <c r="D276" s="69" t="s">
        <v>52</v>
      </c>
      <c r="E276" s="19" t="str">
        <f>IF(A276&lt;&gt;"", IF(COUNTIF(Technical_Evaluations!C:C, A276), "Present", "Absent"), "")</f>
        <v>Absent</v>
      </c>
      <c r="F276" s="19" t="str">
        <f>IF(A276&lt;&gt;"", IF(COUNTIF(Technical_Evaluations!C:C, A276), "Present", "Absent"), "")
</f>
        <v>Absent</v>
      </c>
      <c r="G276" s="20" t="str">
        <f>IFERROR(VLOOKUP(A276, SoftSkills_Evaluations!C:L, 8, FALSE), "")</f>
        <v/>
      </c>
      <c r="H276" s="20" t="str">
        <f>IFERROR(VLOOKUP(A276, Technical_Evaluations!C:L, 7, FALSE), "")
</f>
        <v/>
      </c>
      <c r="I276" s="20" t="str">
        <f>IFERROR(VLOOKUP(A276, 'GD Evaluations'!A:G, 7, FALSE), "")</f>
        <v/>
      </c>
      <c r="J276" s="20">
        <f t="shared" si="1"/>
        <v>0</v>
      </c>
      <c r="K276" s="20">
        <f t="shared" si="2"/>
        <v>0</v>
      </c>
    </row>
    <row r="277">
      <c r="A277" s="69" t="s">
        <v>253</v>
      </c>
      <c r="B277" s="69" t="s">
        <v>295</v>
      </c>
      <c r="C277" s="69" t="s">
        <v>53</v>
      </c>
      <c r="D277" s="69" t="s">
        <v>52</v>
      </c>
      <c r="E277" s="19" t="str">
        <f>IF(A277&lt;&gt;"", IF(COUNTIF(Technical_Evaluations!C:C, A277), "Present", "Absent"), "")</f>
        <v>Present</v>
      </c>
      <c r="F277" s="19" t="str">
        <f>IF(A277&lt;&gt;"", IF(COUNTIF(Technical_Evaluations!C:C, A277), "Present", "Absent"), "")
</f>
        <v>Present</v>
      </c>
      <c r="G277" s="20">
        <f>IFERROR(VLOOKUP(A277, SoftSkills_Evaluations!C:L, 8, FALSE), "")</f>
        <v>81.6</v>
      </c>
      <c r="H277" s="20" t="str">
        <f>IFERROR(VLOOKUP(A277, Technical_Evaluations!C:L, 7, FALSE), "")
</f>
        <v/>
      </c>
      <c r="I277" s="20">
        <f>IFERROR(VLOOKUP(A277, 'GD Evaluations'!A:G, 7, FALSE), "")</f>
        <v>50</v>
      </c>
      <c r="J277" s="20">
        <f t="shared" si="1"/>
        <v>43.86666667</v>
      </c>
      <c r="K277" s="20">
        <f t="shared" si="2"/>
        <v>65.8</v>
      </c>
    </row>
    <row r="278">
      <c r="A278" s="69" t="s">
        <v>179</v>
      </c>
      <c r="B278" s="69" t="s">
        <v>630</v>
      </c>
      <c r="C278" s="69" t="s">
        <v>53</v>
      </c>
      <c r="D278" s="69" t="s">
        <v>52</v>
      </c>
      <c r="E278" s="19" t="str">
        <f>IF(A278&lt;&gt;"", IF(COUNTIF(Technical_Evaluations!C:C, A278), "Present", "Absent"), "")</f>
        <v>Absent</v>
      </c>
      <c r="F278" s="19" t="str">
        <f>IF(A278&lt;&gt;"", IF(COUNTIF(Technical_Evaluations!C:C, A278), "Present", "Absent"), "")
</f>
        <v>Absent</v>
      </c>
      <c r="G278" s="20" t="str">
        <f>IFERROR(VLOOKUP(A278, SoftSkills_Evaluations!C:L, 8, FALSE), "")</f>
        <v/>
      </c>
      <c r="H278" s="20" t="str">
        <f>IFERROR(VLOOKUP(A278, Technical_Evaluations!C:L, 7, FALSE), "")
</f>
        <v/>
      </c>
      <c r="I278" s="20">
        <f>IFERROR(VLOOKUP(A278, 'GD Evaluations'!A:G, 7, FALSE), "")</f>
        <v>23</v>
      </c>
      <c r="J278" s="20">
        <f t="shared" si="1"/>
        <v>7.666666667</v>
      </c>
      <c r="K278" s="20">
        <f t="shared" si="2"/>
        <v>11.5</v>
      </c>
    </row>
    <row r="279">
      <c r="A279" s="69" t="s">
        <v>851</v>
      </c>
      <c r="B279" s="69" t="s">
        <v>852</v>
      </c>
      <c r="C279" s="69" t="s">
        <v>53</v>
      </c>
      <c r="D279" s="69" t="s">
        <v>52</v>
      </c>
      <c r="E279" s="19" t="str">
        <f>IF(A279&lt;&gt;"", IF(COUNTIF(Technical_Evaluations!C:C, A279), "Present", "Absent"), "")</f>
        <v>Absent</v>
      </c>
      <c r="F279" s="19" t="str">
        <f>IF(A279&lt;&gt;"", IF(COUNTIF(Technical_Evaluations!C:C, A279), "Present", "Absent"), "")
</f>
        <v>Absent</v>
      </c>
      <c r="G279" s="20" t="str">
        <f>IFERROR(VLOOKUP(A279, SoftSkills_Evaluations!C:L, 8, FALSE), "")</f>
        <v/>
      </c>
      <c r="H279" s="20" t="str">
        <f>IFERROR(VLOOKUP(A279, Technical_Evaluations!C:L, 7, FALSE), "")
</f>
        <v/>
      </c>
      <c r="I279" s="20" t="str">
        <f>IFERROR(VLOOKUP(A279, 'GD Evaluations'!A:G, 7, FALSE), "")</f>
        <v/>
      </c>
      <c r="J279" s="20">
        <f t="shared" si="1"/>
        <v>0</v>
      </c>
      <c r="K279" s="20">
        <f t="shared" si="2"/>
        <v>0</v>
      </c>
    </row>
    <row r="280">
      <c r="A280" s="69" t="s">
        <v>92</v>
      </c>
      <c r="B280" s="69" t="s">
        <v>517</v>
      </c>
      <c r="C280" s="69" t="s">
        <v>53</v>
      </c>
      <c r="D280" s="69" t="s">
        <v>52</v>
      </c>
      <c r="E280" s="19" t="str">
        <f>IF(A280&lt;&gt;"", IF(COUNTIF(Technical_Evaluations!C:C, A280), "Present", "Absent"), "")</f>
        <v>Present</v>
      </c>
      <c r="F280" s="19" t="str">
        <f>IF(A280&lt;&gt;"", IF(COUNTIF(Technical_Evaluations!C:C, A280), "Present", "Absent"), "")
</f>
        <v>Present</v>
      </c>
      <c r="G280" s="20" t="str">
        <f>IFERROR(VLOOKUP(A280, SoftSkills_Evaluations!C:L, 8, FALSE), "")</f>
        <v/>
      </c>
      <c r="H280" s="20">
        <f>IFERROR(VLOOKUP(A280, Technical_Evaluations!C:L, 7, FALSE), "")
</f>
        <v>87.6</v>
      </c>
      <c r="I280" s="20">
        <f>IFERROR(VLOOKUP(A280, 'GD Evaluations'!A:G, 7, FALSE), "")</f>
        <v>64</v>
      </c>
      <c r="J280" s="20">
        <f t="shared" si="1"/>
        <v>50.53333333</v>
      </c>
      <c r="K280" s="20">
        <f t="shared" si="2"/>
        <v>32</v>
      </c>
    </row>
    <row r="281">
      <c r="A281" s="69" t="s">
        <v>262</v>
      </c>
      <c r="B281" s="69" t="s">
        <v>299</v>
      </c>
      <c r="C281" s="69" t="s">
        <v>53</v>
      </c>
      <c r="D281" s="69" t="s">
        <v>52</v>
      </c>
      <c r="E281" s="19" t="str">
        <f>IF(A281&lt;&gt;"", IF(COUNTIF(Technical_Evaluations!C:C, A281), "Present", "Absent"), "")</f>
        <v>Present</v>
      </c>
      <c r="F281" s="19" t="str">
        <f>IF(A281&lt;&gt;"", IF(COUNTIF(Technical_Evaluations!C:C, A281), "Present", "Absent"), "")
</f>
        <v>Present</v>
      </c>
      <c r="G281" s="20" t="str">
        <f>IFERROR(VLOOKUP(A281, SoftSkills_Evaluations!C:L, 8, FALSE), "")</f>
        <v/>
      </c>
      <c r="H281" s="20">
        <f>IFERROR(VLOOKUP(A281, Technical_Evaluations!C:L, 7, FALSE), "")
</f>
        <v>43</v>
      </c>
      <c r="I281" s="20" t="str">
        <f>IFERROR(VLOOKUP(A281, 'GD Evaluations'!A:G, 7, FALSE), "")</f>
        <v/>
      </c>
      <c r="J281" s="20">
        <f t="shared" si="1"/>
        <v>14.33333333</v>
      </c>
      <c r="K281" s="20">
        <f t="shared" si="2"/>
        <v>0</v>
      </c>
    </row>
    <row r="282">
      <c r="A282" s="69" t="s">
        <v>853</v>
      </c>
      <c r="B282" s="69" t="s">
        <v>854</v>
      </c>
      <c r="C282" s="69" t="s">
        <v>53</v>
      </c>
      <c r="D282" s="69" t="s">
        <v>52</v>
      </c>
      <c r="E282" s="19" t="str">
        <f>IF(A282&lt;&gt;"", IF(COUNTIF(Technical_Evaluations!C:C, A282), "Present", "Absent"), "")</f>
        <v>Absent</v>
      </c>
      <c r="F282" s="19" t="str">
        <f>IF(A282&lt;&gt;"", IF(COUNTIF(Technical_Evaluations!C:C, A282), "Present", "Absent"), "")
</f>
        <v>Absent</v>
      </c>
      <c r="G282" s="20" t="str">
        <f>IFERROR(VLOOKUP(A282, SoftSkills_Evaluations!C:L, 8, FALSE), "")</f>
        <v/>
      </c>
      <c r="H282" s="20" t="str">
        <f>IFERROR(VLOOKUP(A282, Technical_Evaluations!C:L, 7, FALSE), "")
</f>
        <v/>
      </c>
      <c r="I282" s="20" t="str">
        <f>IFERROR(VLOOKUP(A282, 'GD Evaluations'!A:G, 7, FALSE), "")</f>
        <v/>
      </c>
      <c r="J282" s="20">
        <f t="shared" si="1"/>
        <v>0</v>
      </c>
      <c r="K282" s="20">
        <f t="shared" si="2"/>
        <v>0</v>
      </c>
    </row>
    <row r="283">
      <c r="A283" s="69" t="s">
        <v>190</v>
      </c>
      <c r="B283" s="69" t="s">
        <v>486</v>
      </c>
      <c r="C283" s="69" t="s">
        <v>53</v>
      </c>
      <c r="D283" s="69" t="s">
        <v>52</v>
      </c>
      <c r="E283" s="19" t="str">
        <f>IF(A283&lt;&gt;"", IF(COUNTIF(Technical_Evaluations!C:C, A283), "Present", "Absent"), "")</f>
        <v>Present</v>
      </c>
      <c r="F283" s="19" t="str">
        <f>IF(A283&lt;&gt;"", IF(COUNTIF(Technical_Evaluations!C:C, A283), "Present", "Absent"), "")
</f>
        <v>Present</v>
      </c>
      <c r="G283" s="20">
        <f>IFERROR(VLOOKUP(A283, SoftSkills_Evaluations!C:L, 8, FALSE), "")</f>
        <v>92.8</v>
      </c>
      <c r="H283" s="20">
        <f>IFERROR(VLOOKUP(A283, Technical_Evaluations!C:L, 7, FALSE), "")
</f>
        <v>79.8</v>
      </c>
      <c r="I283" s="20">
        <f>IFERROR(VLOOKUP(A283, 'GD Evaluations'!A:G, 7, FALSE), "")</f>
        <v>64</v>
      </c>
      <c r="J283" s="20">
        <f t="shared" si="1"/>
        <v>78.86666667</v>
      </c>
      <c r="K283" s="20">
        <f t="shared" si="2"/>
        <v>78.4</v>
      </c>
    </row>
    <row r="284">
      <c r="A284" s="69" t="s">
        <v>855</v>
      </c>
      <c r="B284" s="69" t="s">
        <v>856</v>
      </c>
      <c r="C284" s="69" t="s">
        <v>53</v>
      </c>
      <c r="D284" s="69" t="s">
        <v>52</v>
      </c>
      <c r="E284" s="19" t="str">
        <f>IF(A284&lt;&gt;"", IF(COUNTIF(Technical_Evaluations!C:C, A284), "Present", "Absent"), "")</f>
        <v>Absent</v>
      </c>
      <c r="F284" s="19" t="str">
        <f>IF(A284&lt;&gt;"", IF(COUNTIF(Technical_Evaluations!C:C, A284), "Present", "Absent"), "")
</f>
        <v>Absent</v>
      </c>
      <c r="G284" s="20" t="str">
        <f>IFERROR(VLOOKUP(A284, SoftSkills_Evaluations!C:L, 8, FALSE), "")</f>
        <v/>
      </c>
      <c r="H284" s="20" t="str">
        <f>IFERROR(VLOOKUP(A284, Technical_Evaluations!C:L, 7, FALSE), "")
</f>
        <v/>
      </c>
      <c r="I284" s="20" t="str">
        <f>IFERROR(VLOOKUP(A284, 'GD Evaluations'!A:G, 7, FALSE), "")</f>
        <v/>
      </c>
    </row>
    <row r="285">
      <c r="E285" s="19" t="str">
        <f>IF(A285&lt;&gt;"", IF(COUNTIF(Technical_Evaluations!C:C, A285), "Present", "Absent"), "")</f>
        <v/>
      </c>
      <c r="F285" s="19" t="str">
        <f>IF(A285&lt;&gt;"", IF(COUNTIF(Technical_Evaluations!C:C, A285), "Present", "Absent"), "")
</f>
        <v/>
      </c>
      <c r="G285" s="20" t="str">
        <f>IFERROR(VLOOKUP(A285, SoftSkills_Evaluations!C:L, 8, FALSE), "")</f>
        <v/>
      </c>
      <c r="I285" s="20" t="str">
        <f>IFERROR(VLOOKUP(A285, 'GD Evaluations'!A:G, 7, FALSE), "")</f>
        <v/>
      </c>
    </row>
    <row r="286">
      <c r="F286" s="19" t="str">
        <f>IF(A286&lt;&gt;"", IF(COUNTIF(Technical_Evaluations!C:C, A286), "Present", "Absent"), "")
</f>
        <v/>
      </c>
      <c r="G286" s="20" t="str">
        <f>IFERROR(VLOOKUP(A286, SoftSkills_Evaluations!C:L, 8, FALSE), "")</f>
        <v/>
      </c>
      <c r="I286" s="20" t="str">
        <f>IFERROR(VLOOKUP(A286, 'GD Evaluations'!A:G, 7, FALSE), "")</f>
        <v/>
      </c>
    </row>
    <row r="287">
      <c r="F287" s="19" t="str">
        <f>IF(A287&lt;&gt;"", IF(COUNTIF(Technical_Evaluations!C:C, A287), "Present", "Absent"), "")
</f>
        <v/>
      </c>
      <c r="G287" s="20" t="str">
        <f>IFERROR(VLOOKUP(A287, SoftSkills_Evaluations!C:L, 8, FALSE), "")</f>
        <v/>
      </c>
      <c r="I287" s="20" t="str">
        <f>IFERROR(VLOOKUP(A287, 'GD Evaluations'!A:G, 7, FALSE), "")</f>
        <v/>
      </c>
    </row>
    <row r="288">
      <c r="F288" s="19" t="str">
        <f>IF(A288&lt;&gt;"", IF(COUNTIF(Technical_Evaluations!C:C, A288), "Present", "Absent"), "")
</f>
        <v/>
      </c>
      <c r="G288" s="20" t="str">
        <f>IFERROR(VLOOKUP(A288, SoftSkills_Evaluations!C:L, 8, FALSE), "")</f>
        <v/>
      </c>
      <c r="I288" s="20" t="str">
        <f>IFERROR(VLOOKUP(A288, 'GD Evaluations'!A:G, 7, FALSE), "")</f>
        <v/>
      </c>
    </row>
    <row r="289">
      <c r="F289" s="19" t="str">
        <f>IF(A289&lt;&gt;"", IF(COUNTIF(Technical_Evaluations!C:C, A289), "Present", "Absent"), "")
</f>
        <v/>
      </c>
      <c r="G289" s="20" t="str">
        <f>IFERROR(VLOOKUP(A289, SoftSkills_Evaluations!C:L, 8, FALSE), "")</f>
        <v/>
      </c>
      <c r="I289" s="20" t="str">
        <f>IFERROR(VLOOKUP(A289, 'GD Evaluations'!A:G, 7, FALSE), "")</f>
        <v/>
      </c>
    </row>
    <row r="290">
      <c r="F290" s="19" t="str">
        <f>IF(A290&lt;&gt;"", IF(COUNTIF(Technical_Evaluations!C:C, A290), "Present", "Absent"), "")
</f>
        <v/>
      </c>
      <c r="G290" s="20" t="str">
        <f>IFERROR(VLOOKUP(A290, SoftSkills_Evaluations!C:L, 8, FALSE), "")</f>
        <v/>
      </c>
      <c r="I290" s="20" t="str">
        <f>IFERROR(VLOOKUP(A290, 'GD Evaluations'!A:G, 7, FALSE), "")</f>
        <v/>
      </c>
    </row>
    <row r="291">
      <c r="F291" s="19" t="str">
        <f>IF(A291&lt;&gt;"", IF(COUNTIF(Technical_Evaluations!C:C, A291), "Present", "Absent"), "")
</f>
        <v/>
      </c>
      <c r="G291" s="20" t="str">
        <f>IFERROR(VLOOKUP(A291, SoftSkills_Evaluations!C:L, 8, FALSE), "")</f>
        <v/>
      </c>
      <c r="I291" s="20" t="str">
        <f>IFERROR(VLOOKUP(A291, 'GD Evaluations'!A:G, 7, FALSE), "")</f>
        <v/>
      </c>
    </row>
    <row r="292">
      <c r="F292" s="19" t="str">
        <f>IF(A292&lt;&gt;"", IF(COUNTIF(Technical_Evaluations!C:C, A292), "Present", "Absent"), "")
</f>
        <v/>
      </c>
      <c r="G292" s="20" t="str">
        <f>IFERROR(VLOOKUP(A292, SoftSkills_Evaluations!C:L, 8, FALSE), "")</f>
        <v/>
      </c>
      <c r="I292" s="20" t="str">
        <f>IFERROR(VLOOKUP(A292, 'GD Evaluations'!A:G, 7, FALSE), "")</f>
        <v/>
      </c>
    </row>
    <row r="293">
      <c r="F293" s="19" t="str">
        <f>IF(A293&lt;&gt;"", IF(COUNTIF(Technical_Evaluations!C:C, A293), "Present", "Absent"), "")
</f>
        <v/>
      </c>
      <c r="G293" s="20" t="str">
        <f>IFERROR(VLOOKUP(A293, SoftSkills_Evaluations!C:L, 8, FALSE), "")</f>
        <v/>
      </c>
      <c r="I293" s="20" t="str">
        <f>IFERROR(VLOOKUP(A293, 'GD Evaluations'!A:G, 7, FALSE), "")</f>
        <v/>
      </c>
    </row>
    <row r="294">
      <c r="F294" s="19" t="str">
        <f>IF(A294&lt;&gt;"", IF(COUNTIF(Technical_Evaluations!C:C, A294), "Present", "Absent"), "")
</f>
        <v/>
      </c>
      <c r="G294" s="20" t="str">
        <f>IFERROR(VLOOKUP(A294, SoftSkills_Evaluations!C:L, 8, FALSE), "")</f>
        <v/>
      </c>
      <c r="I294" s="20" t="str">
        <f>IFERROR(VLOOKUP(A294, 'GD Evaluations'!A:G, 7, FALSE), "")</f>
        <v/>
      </c>
    </row>
    <row r="295">
      <c r="F295" s="19" t="str">
        <f>IF(A295&lt;&gt;"", IF(COUNTIF(Technical_Evaluations!C:C, A295), "Present", "Absent"), "")
</f>
        <v/>
      </c>
      <c r="G295" s="20" t="str">
        <f>IFERROR(VLOOKUP(A295, SoftSkills_Evaluations!C:L, 8, FALSE), "")</f>
        <v/>
      </c>
      <c r="I295" s="20" t="str">
        <f>IFERROR(VLOOKUP(A295, 'GD Evaluations'!A:G, 7, FALSE), "")</f>
        <v/>
      </c>
    </row>
    <row r="296">
      <c r="F296" s="19" t="str">
        <f>IF(A296&lt;&gt;"", IF(COUNTIF(Technical_Evaluations!C:C, A296), "Present", "Absent"), "")
</f>
        <v/>
      </c>
      <c r="G296" s="20" t="str">
        <f>IFERROR(VLOOKUP(A296, SoftSkills_Evaluations!C:L, 8, FALSE), "")</f>
        <v/>
      </c>
      <c r="I296" s="20" t="str">
        <f>IFERROR(VLOOKUP(A296, 'GD Evaluations'!A:G, 7, FALSE), "")</f>
        <v/>
      </c>
    </row>
    <row r="297">
      <c r="F297" s="19" t="str">
        <f>IF(A297&lt;&gt;"", IF(COUNTIF(Technical_Evaluations!C:C, A297), "Present", "Absent"), "")
</f>
        <v/>
      </c>
      <c r="G297" s="20" t="str">
        <f>IFERROR(VLOOKUP(A297, SoftSkills_Evaluations!C:L, 8, FALSE), "")</f>
        <v/>
      </c>
      <c r="I297" s="20" t="str">
        <f>IFERROR(VLOOKUP(A297, 'GD Evaluations'!A:G, 7, FALSE), "")</f>
        <v/>
      </c>
    </row>
    <row r="298">
      <c r="G298" s="20" t="str">
        <f>IFERROR(VLOOKUP(A298, SoftSkills_Evaluations!C:L, 8, FALSE), "")</f>
        <v/>
      </c>
      <c r="I298" s="20" t="str">
        <f>IFERROR(VLOOKUP(A298, 'GD Evaluations'!A:G, 7, FALSE), "")</f>
        <v/>
      </c>
    </row>
    <row r="299">
      <c r="G299" s="20" t="str">
        <f>IFERROR(VLOOKUP(A299, SoftSkills_Evaluations!C:L, 8, FALSE), "")</f>
        <v/>
      </c>
      <c r="I299" s="20" t="str">
        <f>IFERROR(VLOOKUP(A299, 'GD Evaluations'!A:G, 7, FALSE), "")</f>
        <v/>
      </c>
    </row>
    <row r="300">
      <c r="G300" s="20" t="str">
        <f>IFERROR(VLOOKUP(A300, SoftSkills_Evaluations!C:L, 8, FALSE), "")</f>
        <v/>
      </c>
      <c r="I300" s="20" t="str">
        <f>IFERROR(VLOOKUP(A300, 'GD Evaluations'!A:G, 7, FALSE), "")</f>
        <v/>
      </c>
    </row>
    <row r="301">
      <c r="G301" s="20" t="str">
        <f>IFERROR(VLOOKUP(A301, SoftSkills_Evaluations!C:L, 8, FALSE), "")</f>
        <v/>
      </c>
      <c r="I301" s="20" t="str">
        <f>IFERROR(VLOOKUP(A301, 'GD Evaluations'!A:G, 7, FALSE), "")</f>
        <v/>
      </c>
    </row>
    <row r="302">
      <c r="G302" s="20" t="str">
        <f>IFERROR(VLOOKUP(A302, SoftSkills_Evaluations!C:L, 8, FALSE), "")</f>
        <v/>
      </c>
      <c r="I302" s="20" t="str">
        <f>IFERROR(VLOOKUP(A302, 'GD Evaluations'!A:G, 7, FALSE), "")</f>
        <v/>
      </c>
    </row>
    <row r="303">
      <c r="G303" s="20" t="str">
        <f>IFERROR(VLOOKUP(A303, SoftSkills_Evaluations!C:L, 8, FALSE), "")</f>
        <v/>
      </c>
      <c r="I303" s="20" t="str">
        <f>IFERROR(VLOOKUP(A303, 'GD Evaluations'!A:G, 7, FALSE), "")</f>
        <v/>
      </c>
    </row>
    <row r="304">
      <c r="G304" s="20" t="str">
        <f>IFERROR(VLOOKUP(A304, SoftSkills_Evaluations!C:L, 8, FALSE), "")</f>
        <v/>
      </c>
      <c r="I304" s="20" t="str">
        <f>IFERROR(VLOOKUP(A304, 'GD Evaluations'!A:G, 7, FALSE), "")</f>
        <v/>
      </c>
    </row>
    <row r="305">
      <c r="G305" s="20" t="str">
        <f>IFERROR(VLOOKUP(A305, SoftSkills_Evaluations!C:L, 8, FALSE), "")</f>
        <v/>
      </c>
      <c r="I305" s="20" t="str">
        <f>IFERROR(VLOOKUP(A305, 'GD Evaluations'!A:G, 7, FALSE), "")</f>
        <v/>
      </c>
    </row>
    <row r="306">
      <c r="G306" s="20" t="str">
        <f>IFERROR(VLOOKUP(A306, SoftSkills_Evaluations!C:L, 8, FALSE), "")</f>
        <v/>
      </c>
      <c r="I306" s="20" t="str">
        <f>IFERROR(VLOOKUP(A306, 'GD Evaluations'!A:G, 7, FALSE), "")</f>
        <v/>
      </c>
    </row>
    <row r="307">
      <c r="G307" s="20" t="str">
        <f>IFERROR(VLOOKUP(A307, SoftSkills_Evaluations!C:L, 8, FALSE), "")</f>
        <v/>
      </c>
      <c r="I307" s="20" t="str">
        <f>IFERROR(VLOOKUP(A307, 'GD Evaluations'!A:G, 7, FALSE), "")</f>
        <v/>
      </c>
    </row>
    <row r="308">
      <c r="G308" s="20" t="str">
        <f>IFERROR(VLOOKUP(A308, SoftSkills_Evaluations!C:L, 8, FALSE), "")</f>
        <v/>
      </c>
      <c r="I308" s="20" t="str">
        <f>IFERROR(VLOOKUP(A308, 'GD Evaluations'!A:G, 7, FALSE), "")</f>
        <v/>
      </c>
    </row>
    <row r="309">
      <c r="G309" s="20" t="str">
        <f>IFERROR(VLOOKUP(A309, SoftSkills_Evaluations!C:L, 8, FALSE), "")</f>
        <v/>
      </c>
      <c r="I309" s="20" t="str">
        <f>IFERROR(VLOOKUP(A309, 'GD Evaluations'!A:G, 7, FALSE), "")</f>
        <v/>
      </c>
    </row>
    <row r="310">
      <c r="G310" s="20" t="str">
        <f>IFERROR(VLOOKUP(A310, SoftSkills_Evaluations!C:L, 8, FALSE), "")</f>
        <v/>
      </c>
      <c r="I310" s="20" t="str">
        <f>IFERROR(VLOOKUP(A310, 'GD Evaluations'!A:G, 7, FALSE), "")</f>
        <v/>
      </c>
    </row>
    <row r="311">
      <c r="G311" s="20" t="str">
        <f>IFERROR(VLOOKUP(A311, SoftSkills_Evaluations!C:L, 8, FALSE), "")</f>
        <v/>
      </c>
      <c r="I311" s="20" t="str">
        <f>IFERROR(VLOOKUP(A311, 'GD Evaluations'!A:G, 7, FALSE), "")</f>
        <v/>
      </c>
    </row>
    <row r="312">
      <c r="G312" s="20" t="str">
        <f>IFERROR(VLOOKUP(A312, SoftSkills_Evaluations!C:L, 8, FALSE), "")</f>
        <v/>
      </c>
      <c r="I312" s="20" t="str">
        <f>IFERROR(VLOOKUP(A312, 'GD Evaluations'!A:G, 7, FALSE), "")</f>
        <v/>
      </c>
    </row>
    <row r="313">
      <c r="G313" s="20" t="str">
        <f>IFERROR(VLOOKUP(A313, SoftSkills_Evaluations!C:L, 8, FALSE), "")</f>
        <v/>
      </c>
      <c r="I313" s="20" t="str">
        <f>IFERROR(VLOOKUP(A313, 'GD Evaluations'!A:G, 7, FALSE), "")</f>
        <v/>
      </c>
    </row>
    <row r="314">
      <c r="G314" s="20" t="str">
        <f>IFERROR(VLOOKUP(A314, SoftSkills_Evaluations!C:L, 8, FALSE), "")</f>
        <v/>
      </c>
      <c r="I314" s="20" t="str">
        <f>IFERROR(VLOOKUP(A314, 'GD Evaluations'!A:G, 7, FALSE), "")</f>
        <v/>
      </c>
    </row>
    <row r="315">
      <c r="G315" s="20" t="str">
        <f>IFERROR(VLOOKUP(A315, SoftSkills_Evaluations!C:L, 8, FALSE), "")</f>
        <v/>
      </c>
      <c r="I315" s="20" t="str">
        <f>IFERROR(VLOOKUP(A315, 'GD Evaluations'!A:G, 7, FALSE), "")</f>
        <v/>
      </c>
    </row>
    <row r="316">
      <c r="G316" s="20" t="str">
        <f>IFERROR(VLOOKUP(A316, SoftSkills_Evaluations!C:L, 8, FALSE), "")</f>
        <v/>
      </c>
      <c r="I316" s="20" t="str">
        <f>IFERROR(VLOOKUP(A316, 'GD Evaluations'!A:G, 7, FALSE), "")</f>
        <v/>
      </c>
    </row>
    <row r="317">
      <c r="G317" s="20" t="str">
        <f>IFERROR(VLOOKUP(A317, SoftSkills_Evaluations!C:L, 8, FALSE), "")</f>
        <v/>
      </c>
      <c r="I317" s="20" t="str">
        <f>IFERROR(VLOOKUP(A317, 'GD Evaluations'!A:G, 7, FALSE), "")</f>
        <v/>
      </c>
    </row>
    <row r="318">
      <c r="G318" s="20" t="str">
        <f>IFERROR(VLOOKUP(A318, SoftSkills_Evaluations!C:L, 8, FALSE), "")</f>
        <v/>
      </c>
      <c r="I318" s="20" t="str">
        <f>IFERROR(VLOOKUP(A318, 'GD Evaluations'!A:G, 7, FALSE), "")</f>
        <v/>
      </c>
    </row>
    <row r="319">
      <c r="G319" s="20" t="str">
        <f>IFERROR(VLOOKUP(A319, SoftSkills_Evaluations!C:L, 8, FALSE), "")</f>
        <v/>
      </c>
      <c r="I319" s="20" t="str">
        <f>IFERROR(VLOOKUP(A319, 'GD Evaluations'!A:G, 7, FALSE), "")</f>
        <v/>
      </c>
    </row>
    <row r="320">
      <c r="G320" s="20" t="str">
        <f>IFERROR(VLOOKUP(A320, SoftSkills_Evaluations!C:L, 8, FALSE), "")</f>
        <v/>
      </c>
      <c r="I320" s="20" t="str">
        <f>IFERROR(VLOOKUP(A320, 'GD Evaluations'!A:G, 7, FALSE), "")</f>
        <v/>
      </c>
    </row>
    <row r="321">
      <c r="G321" s="20" t="str">
        <f>IFERROR(VLOOKUP(A321, SoftSkills_Evaluations!C:L, 8, FALSE), "")</f>
        <v/>
      </c>
      <c r="I321" s="20" t="str">
        <f>IFERROR(VLOOKUP(A321, 'GD Evaluations'!A:G, 7, FALSE), "")</f>
        <v/>
      </c>
    </row>
    <row r="322">
      <c r="G322" s="20" t="str">
        <f>IFERROR(VLOOKUP(A322, SoftSkills_Evaluations!C:L, 8, FALSE), "")</f>
        <v/>
      </c>
      <c r="I322" s="20" t="str">
        <f>IFERROR(VLOOKUP(A322, 'GD Evaluations'!A:G, 7, FALSE), "")</f>
        <v/>
      </c>
    </row>
    <row r="323">
      <c r="G323" s="20" t="str">
        <f>IFERROR(VLOOKUP(A323, SoftSkills_Evaluations!C:L, 8, FALSE), "")</f>
        <v/>
      </c>
      <c r="I323" s="20" t="str">
        <f>IFERROR(VLOOKUP(A323, 'GD Evaluations'!A:G, 7, FALSE), "")</f>
        <v/>
      </c>
    </row>
    <row r="324">
      <c r="G324" s="20" t="str">
        <f>IFERROR(VLOOKUP(A324, SoftSkills_Evaluations!C:L, 8, FALSE), "")</f>
        <v/>
      </c>
      <c r="I324" s="20" t="str">
        <f>IFERROR(VLOOKUP(A324, 'GD Evaluations'!A:G, 7, FALSE), "")</f>
        <v/>
      </c>
    </row>
    <row r="325">
      <c r="G325" s="20" t="str">
        <f>IFERROR(VLOOKUP(A325, SoftSkills_Evaluations!C:L, 8, FALSE), "")</f>
        <v/>
      </c>
      <c r="I325" s="20" t="str">
        <f>IFERROR(VLOOKUP(A325, 'GD Evaluations'!A:G, 7, FALSE), "")</f>
        <v/>
      </c>
    </row>
    <row r="326">
      <c r="G326" s="20" t="str">
        <f>IFERROR(VLOOKUP(A326, SoftSkills_Evaluations!C:L, 8, FALSE), "")</f>
        <v/>
      </c>
      <c r="I326" s="20" t="str">
        <f>IFERROR(VLOOKUP(A326, 'GD Evaluations'!A:G, 7, FALSE), "")</f>
        <v/>
      </c>
    </row>
    <row r="327">
      <c r="I327" s="20" t="str">
        <f>IFERROR(VLOOKUP(A327, 'GD Evaluations'!A:G, 7, FALSE), "")</f>
        <v/>
      </c>
    </row>
  </sheetData>
  <hyperlinks>
    <hyperlink r:id="rId1" ref="B13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s>
  <sheetData>
    <row r="1">
      <c r="A1" s="2" t="s">
        <v>10</v>
      </c>
      <c r="B1" s="2" t="s">
        <v>17</v>
      </c>
      <c r="C1" s="2" t="s">
        <v>18</v>
      </c>
      <c r="D1" s="2" t="s">
        <v>19</v>
      </c>
      <c r="E1" s="2" t="s">
        <v>21</v>
      </c>
      <c r="F1" s="2" t="s">
        <v>22</v>
      </c>
      <c r="G1" s="2" t="s">
        <v>25</v>
      </c>
      <c r="H1" s="2" t="s">
        <v>16</v>
      </c>
    </row>
    <row r="2">
      <c r="A2" s="7" t="s">
        <v>30</v>
      </c>
      <c r="B2" s="10">
        <v>19.0</v>
      </c>
      <c r="C2" s="10">
        <v>16.0</v>
      </c>
      <c r="D2" s="10">
        <v>16.0</v>
      </c>
      <c r="E2" s="10">
        <v>16.0</v>
      </c>
      <c r="F2" s="10">
        <v>17.0</v>
      </c>
      <c r="G2" s="10">
        <v>84.0</v>
      </c>
      <c r="H2" s="13"/>
    </row>
    <row r="3">
      <c r="A3" s="7" t="s">
        <v>37</v>
      </c>
      <c r="B3" s="10">
        <v>17.0</v>
      </c>
      <c r="C3" s="10">
        <v>12.0</v>
      </c>
      <c r="D3" s="10">
        <v>16.0</v>
      </c>
      <c r="E3" s="10">
        <v>16.0</v>
      </c>
      <c r="F3" s="10">
        <v>20.0</v>
      </c>
      <c r="G3" s="10">
        <v>81.0</v>
      </c>
      <c r="H3" s="13"/>
    </row>
    <row r="4">
      <c r="A4" s="7" t="s">
        <v>42</v>
      </c>
      <c r="B4" s="10">
        <v>19.0</v>
      </c>
      <c r="C4" s="10">
        <v>19.0</v>
      </c>
      <c r="D4" s="10">
        <v>17.0</v>
      </c>
      <c r="E4" s="10">
        <v>20.0</v>
      </c>
      <c r="F4" s="10">
        <v>20.0</v>
      </c>
      <c r="G4" s="10">
        <v>95.0</v>
      </c>
      <c r="H4" s="13"/>
    </row>
    <row r="5">
      <c r="A5" s="7" t="s">
        <v>47</v>
      </c>
      <c r="B5" s="10">
        <v>18.0</v>
      </c>
      <c r="C5" s="10">
        <v>19.0</v>
      </c>
      <c r="D5" s="10">
        <v>19.0</v>
      </c>
      <c r="E5" s="10">
        <v>20.0</v>
      </c>
      <c r="F5" s="10">
        <v>18.0</v>
      </c>
      <c r="G5" s="10">
        <v>94.0</v>
      </c>
      <c r="H5" s="13"/>
    </row>
    <row r="6">
      <c r="A6" s="7" t="s">
        <v>50</v>
      </c>
      <c r="B6" s="10">
        <v>18.0</v>
      </c>
      <c r="C6" s="10">
        <v>12.0</v>
      </c>
      <c r="D6" s="10">
        <v>12.0</v>
      </c>
      <c r="E6" s="10">
        <v>16.0</v>
      </c>
      <c r="F6" s="10">
        <v>14.0</v>
      </c>
      <c r="G6" s="10">
        <v>72.0</v>
      </c>
      <c r="H6" s="7" t="s">
        <v>56</v>
      </c>
    </row>
    <row r="7">
      <c r="A7" s="7" t="s">
        <v>57</v>
      </c>
      <c r="B7" s="10">
        <v>17.0</v>
      </c>
      <c r="C7" s="10">
        <v>16.0</v>
      </c>
      <c r="D7" s="10">
        <v>16.0</v>
      </c>
      <c r="E7" s="10">
        <v>16.0</v>
      </c>
      <c r="F7" s="10">
        <v>15.0</v>
      </c>
      <c r="G7" s="10">
        <v>80.0</v>
      </c>
      <c r="H7" s="13"/>
    </row>
    <row r="8">
      <c r="A8" s="7" t="s">
        <v>64</v>
      </c>
      <c r="B8" s="10">
        <v>17.0</v>
      </c>
      <c r="C8" s="10">
        <v>17.0</v>
      </c>
      <c r="D8" s="10">
        <v>16.0</v>
      </c>
      <c r="E8" s="10">
        <v>16.0</v>
      </c>
      <c r="F8" s="10">
        <v>15.0</v>
      </c>
      <c r="G8" s="10">
        <v>81.0</v>
      </c>
      <c r="H8" s="13"/>
    </row>
    <row r="9">
      <c r="A9" s="7" t="s">
        <v>66</v>
      </c>
      <c r="B9" s="10">
        <v>14.0</v>
      </c>
      <c r="C9" s="10">
        <v>14.0</v>
      </c>
      <c r="D9" s="10">
        <v>16.0</v>
      </c>
      <c r="E9" s="10">
        <v>12.0</v>
      </c>
      <c r="F9" s="10">
        <v>13.0</v>
      </c>
      <c r="G9" s="10">
        <v>69.0</v>
      </c>
      <c r="H9" s="13"/>
    </row>
    <row r="10">
      <c r="A10" s="7" t="s">
        <v>71</v>
      </c>
      <c r="B10" s="10">
        <v>14.0</v>
      </c>
      <c r="C10" s="10">
        <v>12.0</v>
      </c>
      <c r="D10" s="10">
        <v>12.0</v>
      </c>
      <c r="E10" s="10">
        <v>12.0</v>
      </c>
      <c r="F10" s="10">
        <v>12.0</v>
      </c>
      <c r="G10" s="10">
        <v>62.0</v>
      </c>
      <c r="H10" s="13"/>
    </row>
    <row r="11">
      <c r="A11" s="7" t="s">
        <v>72</v>
      </c>
      <c r="B11" s="10">
        <v>19.0</v>
      </c>
      <c r="C11" s="10">
        <v>20.0</v>
      </c>
      <c r="D11" s="10">
        <v>20.0</v>
      </c>
      <c r="E11" s="10">
        <v>20.0</v>
      </c>
      <c r="F11" s="10">
        <v>20.0</v>
      </c>
      <c r="G11" s="10">
        <v>99.0</v>
      </c>
      <c r="H11" s="13"/>
    </row>
    <row r="12">
      <c r="A12" s="7" t="s">
        <v>75</v>
      </c>
      <c r="B12" s="10">
        <v>18.0</v>
      </c>
      <c r="C12" s="10">
        <v>14.0</v>
      </c>
      <c r="D12" s="10">
        <v>16.0</v>
      </c>
      <c r="E12" s="10">
        <v>17.0</v>
      </c>
      <c r="F12" s="10">
        <v>20.0</v>
      </c>
      <c r="G12" s="10">
        <v>85.0</v>
      </c>
      <c r="H12" s="13"/>
    </row>
    <row r="13">
      <c r="A13" s="7" t="s">
        <v>79</v>
      </c>
      <c r="B13" s="10">
        <v>19.0</v>
      </c>
      <c r="C13" s="10">
        <v>16.0</v>
      </c>
      <c r="D13" s="10">
        <v>18.0</v>
      </c>
      <c r="E13" s="10">
        <v>16.0</v>
      </c>
      <c r="F13" s="10">
        <v>18.0</v>
      </c>
      <c r="G13" s="10">
        <v>87.0</v>
      </c>
      <c r="H13" s="13"/>
    </row>
    <row r="14">
      <c r="A14" s="7" t="s">
        <v>82</v>
      </c>
      <c r="B14" s="10">
        <v>12.0</v>
      </c>
      <c r="C14" s="10">
        <v>12.0</v>
      </c>
      <c r="D14" s="10">
        <v>12.0</v>
      </c>
      <c r="E14" s="10">
        <v>12.0</v>
      </c>
      <c r="F14" s="10">
        <v>9.0</v>
      </c>
      <c r="G14" s="10">
        <v>57.0</v>
      </c>
      <c r="H14" s="13"/>
    </row>
    <row r="15">
      <c r="A15" s="7" t="s">
        <v>85</v>
      </c>
      <c r="B15" s="10">
        <v>13.0</v>
      </c>
      <c r="C15" s="10">
        <v>12.0</v>
      </c>
      <c r="D15" s="10">
        <v>12.0</v>
      </c>
      <c r="E15" s="10">
        <v>12.0</v>
      </c>
      <c r="F15" s="10">
        <v>9.0</v>
      </c>
      <c r="G15" s="10">
        <v>58.0</v>
      </c>
      <c r="H15" s="13"/>
    </row>
    <row r="16">
      <c r="A16" s="7" t="s">
        <v>90</v>
      </c>
      <c r="B16" s="10">
        <v>13.0</v>
      </c>
      <c r="C16" s="10">
        <v>12.0</v>
      </c>
      <c r="D16" s="10">
        <v>12.0</v>
      </c>
      <c r="E16" s="10">
        <v>11.0</v>
      </c>
      <c r="F16" s="10">
        <v>3.0</v>
      </c>
      <c r="G16" s="10">
        <v>51.0</v>
      </c>
      <c r="H16" s="13"/>
    </row>
    <row r="17">
      <c r="A17" s="7" t="s">
        <v>92</v>
      </c>
      <c r="B17" s="10">
        <v>15.0</v>
      </c>
      <c r="C17" s="10">
        <v>16.0</v>
      </c>
      <c r="D17" s="10">
        <v>12.0</v>
      </c>
      <c r="E17" s="10">
        <v>12.0</v>
      </c>
      <c r="F17" s="10">
        <v>9.0</v>
      </c>
      <c r="G17" s="10">
        <v>64.0</v>
      </c>
      <c r="H17" s="13"/>
    </row>
    <row r="18">
      <c r="A18" s="7" t="s">
        <v>96</v>
      </c>
      <c r="B18" s="10">
        <v>13.0</v>
      </c>
      <c r="C18" s="10">
        <v>12.0</v>
      </c>
      <c r="D18" s="10">
        <v>12.0</v>
      </c>
      <c r="E18" s="10">
        <v>13.0</v>
      </c>
      <c r="F18" s="10">
        <v>9.0</v>
      </c>
      <c r="G18" s="10">
        <v>59.0</v>
      </c>
      <c r="H18" s="13"/>
    </row>
    <row r="19">
      <c r="A19" s="7" t="s">
        <v>99</v>
      </c>
      <c r="B19" s="10">
        <v>15.0</v>
      </c>
      <c r="C19" s="10">
        <v>16.0</v>
      </c>
      <c r="D19" s="10">
        <v>16.0</v>
      </c>
      <c r="E19" s="10">
        <v>14.0</v>
      </c>
      <c r="F19" s="10">
        <v>12.0</v>
      </c>
      <c r="G19" s="10">
        <v>73.0</v>
      </c>
      <c r="H19" s="13"/>
    </row>
    <row r="20">
      <c r="A20" s="7" t="s">
        <v>102</v>
      </c>
      <c r="B20" s="10">
        <v>16.0</v>
      </c>
      <c r="C20" s="10">
        <v>16.0</v>
      </c>
      <c r="D20" s="10">
        <v>13.0</v>
      </c>
      <c r="E20" s="10">
        <v>16.0</v>
      </c>
      <c r="F20" s="10">
        <v>12.0</v>
      </c>
      <c r="G20" s="10">
        <v>73.0</v>
      </c>
      <c r="H20" s="13"/>
    </row>
    <row r="21">
      <c r="A21" s="7" t="s">
        <v>106</v>
      </c>
      <c r="B21" s="10">
        <v>15.0</v>
      </c>
      <c r="C21" s="10">
        <v>12.0</v>
      </c>
      <c r="D21" s="10">
        <v>12.0</v>
      </c>
      <c r="E21" s="10">
        <v>13.0</v>
      </c>
      <c r="F21" s="10">
        <v>9.0</v>
      </c>
      <c r="G21" s="10">
        <v>61.0</v>
      </c>
      <c r="H21" s="13"/>
    </row>
    <row r="22">
      <c r="A22" s="7" t="s">
        <v>108</v>
      </c>
      <c r="B22" s="10">
        <v>16.0</v>
      </c>
      <c r="C22" s="10">
        <v>16.0</v>
      </c>
      <c r="D22" s="10">
        <v>16.0</v>
      </c>
      <c r="E22" s="10">
        <v>15.0</v>
      </c>
      <c r="F22" s="10">
        <v>9.0</v>
      </c>
      <c r="G22" s="10">
        <v>72.0</v>
      </c>
      <c r="H22" s="13"/>
    </row>
    <row r="23">
      <c r="A23" s="7" t="s">
        <v>91</v>
      </c>
      <c r="B23" s="10">
        <v>14.0</v>
      </c>
      <c r="C23" s="10">
        <v>10.0</v>
      </c>
      <c r="D23" s="10">
        <v>11.0</v>
      </c>
      <c r="E23" s="10">
        <v>10.0</v>
      </c>
      <c r="F23" s="10">
        <v>3.0</v>
      </c>
      <c r="G23" s="10">
        <v>48.0</v>
      </c>
      <c r="H23" s="13"/>
    </row>
    <row r="24">
      <c r="A24" s="7" t="s">
        <v>112</v>
      </c>
      <c r="B24" s="10">
        <v>9.0</v>
      </c>
      <c r="C24" s="10">
        <v>11.0</v>
      </c>
      <c r="D24" s="10">
        <v>12.0</v>
      </c>
      <c r="E24" s="10">
        <v>11.0</v>
      </c>
      <c r="F24" s="10">
        <v>3.0</v>
      </c>
      <c r="G24" s="10">
        <v>46.0</v>
      </c>
      <c r="H24" s="13"/>
    </row>
    <row r="25">
      <c r="A25" s="7" t="s">
        <v>115</v>
      </c>
      <c r="B25" s="10">
        <v>16.0</v>
      </c>
      <c r="C25" s="10">
        <v>14.0</v>
      </c>
      <c r="D25" s="10">
        <v>16.0</v>
      </c>
      <c r="E25" s="10">
        <v>16.0</v>
      </c>
      <c r="F25" s="10">
        <v>16.0</v>
      </c>
      <c r="G25" s="10">
        <v>78.0</v>
      </c>
      <c r="H25" s="13"/>
    </row>
    <row r="26">
      <c r="A26" s="7" t="s">
        <v>119</v>
      </c>
      <c r="B26" s="10">
        <v>18.0</v>
      </c>
      <c r="C26" s="10">
        <v>20.0</v>
      </c>
      <c r="D26" s="10">
        <v>17.0</v>
      </c>
      <c r="E26" s="10">
        <v>15.0</v>
      </c>
      <c r="F26" s="10">
        <v>20.0</v>
      </c>
      <c r="G26" s="10">
        <v>90.0</v>
      </c>
      <c r="H26" s="13"/>
    </row>
    <row r="27">
      <c r="A27" s="7" t="s">
        <v>121</v>
      </c>
      <c r="B27" s="10">
        <v>18.0</v>
      </c>
      <c r="C27" s="10">
        <v>19.0</v>
      </c>
      <c r="D27" s="10">
        <v>18.0</v>
      </c>
      <c r="E27" s="10">
        <v>17.0</v>
      </c>
      <c r="F27" s="10">
        <v>16.0</v>
      </c>
      <c r="G27" s="10">
        <v>88.0</v>
      </c>
      <c r="H27" s="13"/>
    </row>
    <row r="28">
      <c r="A28" s="7" t="s">
        <v>123</v>
      </c>
      <c r="B28" s="10">
        <v>17.0</v>
      </c>
      <c r="C28" s="10">
        <v>17.0</v>
      </c>
      <c r="D28" s="10">
        <v>16.0</v>
      </c>
      <c r="E28" s="10">
        <v>17.0</v>
      </c>
      <c r="F28" s="10">
        <v>17.0</v>
      </c>
      <c r="G28" s="10">
        <v>84.0</v>
      </c>
      <c r="H28" s="13"/>
    </row>
    <row r="29">
      <c r="A29" s="7" t="s">
        <v>125</v>
      </c>
      <c r="B29" s="10">
        <v>19.0</v>
      </c>
      <c r="C29" s="10">
        <v>19.0</v>
      </c>
      <c r="D29" s="10">
        <v>8.0</v>
      </c>
      <c r="E29" s="10">
        <v>17.0</v>
      </c>
      <c r="F29" s="10">
        <v>17.0</v>
      </c>
      <c r="G29" s="10">
        <v>80.0</v>
      </c>
      <c r="H29" s="13"/>
    </row>
    <row r="30">
      <c r="A30" s="7" t="s">
        <v>128</v>
      </c>
      <c r="B30" s="10">
        <v>16.0</v>
      </c>
      <c r="C30" s="10">
        <v>16.0</v>
      </c>
      <c r="D30" s="10">
        <v>17.0</v>
      </c>
      <c r="E30" s="10">
        <v>16.0</v>
      </c>
      <c r="F30" s="10">
        <v>17.0</v>
      </c>
      <c r="G30" s="10">
        <v>82.0</v>
      </c>
      <c r="H30" s="13"/>
    </row>
    <row r="31">
      <c r="A31" s="7" t="s">
        <v>130</v>
      </c>
      <c r="B31" s="10">
        <v>13.0</v>
      </c>
      <c r="C31" s="10">
        <v>9.0</v>
      </c>
      <c r="D31" s="10">
        <v>13.0</v>
      </c>
      <c r="E31" s="10">
        <v>12.0</v>
      </c>
      <c r="F31" s="10">
        <v>9.0</v>
      </c>
      <c r="G31" s="10">
        <v>56.0</v>
      </c>
      <c r="H31" s="13"/>
    </row>
    <row r="32">
      <c r="A32" s="7" t="s">
        <v>134</v>
      </c>
      <c r="B32" s="10">
        <v>16.0</v>
      </c>
      <c r="C32" s="10">
        <v>17.0</v>
      </c>
      <c r="D32" s="10">
        <v>14.0</v>
      </c>
      <c r="E32" s="10">
        <v>15.0</v>
      </c>
      <c r="F32" s="10">
        <v>17.0</v>
      </c>
      <c r="G32" s="10">
        <v>79.0</v>
      </c>
      <c r="H32" s="13"/>
    </row>
    <row r="33">
      <c r="A33" s="7" t="s">
        <v>45</v>
      </c>
      <c r="B33" s="10">
        <v>17.0</v>
      </c>
      <c r="C33" s="10">
        <v>17.0</v>
      </c>
      <c r="D33" s="10">
        <v>17.0</v>
      </c>
      <c r="E33" s="10">
        <v>16.0</v>
      </c>
      <c r="F33" s="10">
        <v>15.0</v>
      </c>
      <c r="G33" s="10">
        <v>82.0</v>
      </c>
      <c r="H33" s="13"/>
    </row>
    <row r="34">
      <c r="A34" s="7" t="s">
        <v>139</v>
      </c>
      <c r="B34" s="10">
        <v>16.0</v>
      </c>
      <c r="C34" s="10">
        <v>17.0</v>
      </c>
      <c r="D34" s="10">
        <v>16.0</v>
      </c>
      <c r="E34" s="10">
        <v>17.0</v>
      </c>
      <c r="F34" s="10">
        <v>16.0</v>
      </c>
      <c r="G34" s="10">
        <v>82.0</v>
      </c>
      <c r="H34" s="13"/>
    </row>
    <row r="35">
      <c r="A35" s="7" t="s">
        <v>110</v>
      </c>
      <c r="B35" s="10">
        <v>12.0</v>
      </c>
      <c r="C35" s="10">
        <v>11.0</v>
      </c>
      <c r="D35" s="10">
        <v>12.0</v>
      </c>
      <c r="E35" s="10">
        <v>11.0</v>
      </c>
      <c r="F35" s="10">
        <v>3.0</v>
      </c>
      <c r="G35" s="10">
        <v>49.0</v>
      </c>
      <c r="H35" s="13"/>
    </row>
    <row r="36">
      <c r="A36" s="7" t="s">
        <v>136</v>
      </c>
      <c r="B36" s="10">
        <v>14.0</v>
      </c>
      <c r="C36" s="10">
        <v>16.0</v>
      </c>
      <c r="D36" s="10">
        <v>11.0</v>
      </c>
      <c r="E36" s="10">
        <v>12.0</v>
      </c>
      <c r="F36" s="10">
        <v>14.0</v>
      </c>
      <c r="G36" s="10">
        <v>67.0</v>
      </c>
      <c r="H36" s="7" t="s">
        <v>150</v>
      </c>
    </row>
    <row r="37">
      <c r="A37" s="7" t="s">
        <v>151</v>
      </c>
      <c r="B37" s="10">
        <v>12.0</v>
      </c>
      <c r="C37" s="10">
        <v>12.0</v>
      </c>
      <c r="D37" s="10">
        <v>10.0</v>
      </c>
      <c r="E37" s="10">
        <v>11.0</v>
      </c>
      <c r="F37" s="10">
        <v>12.0</v>
      </c>
      <c r="G37" s="10">
        <v>57.0</v>
      </c>
      <c r="H37" s="7" t="s">
        <v>153</v>
      </c>
    </row>
    <row r="38">
      <c r="A38" s="7" t="s">
        <v>140</v>
      </c>
      <c r="B38" s="10">
        <v>13.0</v>
      </c>
      <c r="C38" s="10">
        <v>12.0</v>
      </c>
      <c r="D38" s="10">
        <v>12.0</v>
      </c>
      <c r="E38" s="10">
        <v>11.0</v>
      </c>
      <c r="F38" s="10">
        <v>13.0</v>
      </c>
      <c r="G38" s="10">
        <v>61.0</v>
      </c>
      <c r="H38" s="7" t="s">
        <v>155</v>
      </c>
    </row>
    <row r="39">
      <c r="A39" s="7" t="s">
        <v>157</v>
      </c>
      <c r="B39" s="10">
        <v>13.0</v>
      </c>
      <c r="C39" s="10">
        <v>15.0</v>
      </c>
      <c r="D39" s="10">
        <v>9.0</v>
      </c>
      <c r="E39" s="10">
        <v>13.0</v>
      </c>
      <c r="F39" s="10">
        <v>17.0</v>
      </c>
      <c r="G39" s="10">
        <v>67.0</v>
      </c>
      <c r="H39" s="7" t="s">
        <v>160</v>
      </c>
    </row>
    <row r="40">
      <c r="A40" s="7" t="s">
        <v>133</v>
      </c>
      <c r="B40" s="10">
        <v>8.0</v>
      </c>
      <c r="C40" s="10">
        <v>11.0</v>
      </c>
      <c r="D40" s="10">
        <v>8.0</v>
      </c>
      <c r="E40" s="10">
        <v>11.0</v>
      </c>
      <c r="F40" s="10">
        <v>13.0</v>
      </c>
      <c r="G40" s="10">
        <v>51.0</v>
      </c>
      <c r="H40" s="7" t="s">
        <v>153</v>
      </c>
    </row>
    <row r="41">
      <c r="A41" s="7" t="s">
        <v>163</v>
      </c>
      <c r="B41" s="10">
        <v>10.0</v>
      </c>
      <c r="C41" s="10">
        <v>8.0</v>
      </c>
      <c r="D41" s="10">
        <v>6.0</v>
      </c>
      <c r="E41" s="10">
        <v>7.0</v>
      </c>
      <c r="F41" s="10">
        <v>8.0</v>
      </c>
      <c r="G41" s="10">
        <v>39.0</v>
      </c>
      <c r="H41" s="7" t="s">
        <v>165</v>
      </c>
    </row>
    <row r="42">
      <c r="A42" s="7" t="s">
        <v>166</v>
      </c>
      <c r="B42" s="10">
        <v>11.0</v>
      </c>
      <c r="C42" s="10">
        <v>11.0</v>
      </c>
      <c r="D42" s="10">
        <v>8.0</v>
      </c>
      <c r="E42" s="10">
        <v>10.0</v>
      </c>
      <c r="F42" s="10">
        <v>15.0</v>
      </c>
      <c r="G42" s="10">
        <v>55.0</v>
      </c>
      <c r="H42" s="7" t="s">
        <v>168</v>
      </c>
    </row>
    <row r="43">
      <c r="A43" s="7" t="s">
        <v>170</v>
      </c>
      <c r="B43" s="10">
        <v>8.0</v>
      </c>
      <c r="C43" s="10">
        <v>8.0</v>
      </c>
      <c r="D43" s="10">
        <v>8.0</v>
      </c>
      <c r="E43" s="10">
        <v>9.0</v>
      </c>
      <c r="F43" s="10">
        <v>8.0</v>
      </c>
      <c r="G43" s="10">
        <v>41.0</v>
      </c>
      <c r="H43" s="7" t="s">
        <v>173</v>
      </c>
    </row>
    <row r="44">
      <c r="A44" s="7" t="s">
        <v>174</v>
      </c>
      <c r="B44" s="10">
        <v>10.0</v>
      </c>
      <c r="C44" s="10">
        <v>10.0</v>
      </c>
      <c r="D44" s="10">
        <v>8.0</v>
      </c>
      <c r="E44" s="10">
        <v>13.0</v>
      </c>
      <c r="F44" s="10">
        <v>15.0</v>
      </c>
      <c r="G44" s="10">
        <v>56.0</v>
      </c>
      <c r="H44" s="7" t="s">
        <v>178</v>
      </c>
    </row>
    <row r="45">
      <c r="A45" s="7" t="s">
        <v>179</v>
      </c>
      <c r="B45" s="10">
        <v>0.0</v>
      </c>
      <c r="C45" s="10">
        <v>6.0</v>
      </c>
      <c r="D45" s="10">
        <v>6.0</v>
      </c>
      <c r="E45" s="10">
        <v>6.0</v>
      </c>
      <c r="F45" s="10">
        <v>5.0</v>
      </c>
      <c r="G45" s="10">
        <v>23.0</v>
      </c>
      <c r="H45" s="7" t="s">
        <v>181</v>
      </c>
    </row>
    <row r="46">
      <c r="A46" s="7" t="s">
        <v>182</v>
      </c>
      <c r="B46" s="10">
        <v>15.0</v>
      </c>
      <c r="C46" s="10">
        <v>12.0</v>
      </c>
      <c r="D46" s="10">
        <v>11.0</v>
      </c>
      <c r="E46" s="10">
        <v>12.0</v>
      </c>
      <c r="F46" s="10">
        <v>9.0</v>
      </c>
      <c r="G46" s="10">
        <v>59.0</v>
      </c>
      <c r="H46" s="13"/>
    </row>
    <row r="47">
      <c r="A47" s="7" t="s">
        <v>184</v>
      </c>
      <c r="B47" s="10">
        <v>14.0</v>
      </c>
      <c r="C47" s="10">
        <v>12.0</v>
      </c>
      <c r="D47" s="10">
        <v>13.0</v>
      </c>
      <c r="E47" s="10">
        <v>16.0</v>
      </c>
      <c r="F47" s="10">
        <v>9.0</v>
      </c>
      <c r="G47" s="10">
        <v>64.0</v>
      </c>
      <c r="H47" s="13"/>
    </row>
    <row r="48">
      <c r="A48" s="7" t="s">
        <v>186</v>
      </c>
      <c r="B48" s="10">
        <v>12.0</v>
      </c>
      <c r="C48" s="10">
        <v>12.0</v>
      </c>
      <c r="D48" s="10">
        <v>12.0</v>
      </c>
      <c r="E48" s="10">
        <v>16.0</v>
      </c>
      <c r="F48" s="10">
        <v>9.0</v>
      </c>
      <c r="G48" s="10">
        <v>61.0</v>
      </c>
      <c r="H48" s="13"/>
    </row>
    <row r="49">
      <c r="A49" s="7" t="s">
        <v>188</v>
      </c>
      <c r="B49" s="10">
        <v>13.0</v>
      </c>
      <c r="C49" s="10">
        <v>13.0</v>
      </c>
      <c r="D49" s="10">
        <v>16.0</v>
      </c>
      <c r="E49" s="10">
        <v>14.0</v>
      </c>
      <c r="F49" s="10">
        <v>12.0</v>
      </c>
      <c r="G49" s="10">
        <v>68.0</v>
      </c>
      <c r="H49" s="13"/>
    </row>
    <row r="50">
      <c r="A50" s="7" t="s">
        <v>190</v>
      </c>
      <c r="B50" s="10">
        <v>14.0</v>
      </c>
      <c r="C50" s="10">
        <v>14.0</v>
      </c>
      <c r="D50" s="10">
        <v>12.0</v>
      </c>
      <c r="E50" s="10">
        <v>15.0</v>
      </c>
      <c r="F50" s="10">
        <v>9.0</v>
      </c>
      <c r="G50" s="10">
        <v>64.0</v>
      </c>
      <c r="H50" s="13"/>
    </row>
    <row r="51">
      <c r="A51" s="7" t="s">
        <v>177</v>
      </c>
      <c r="B51" s="10">
        <v>12.0</v>
      </c>
      <c r="C51" s="10">
        <v>11.0</v>
      </c>
      <c r="D51" s="10">
        <v>12.0</v>
      </c>
      <c r="E51" s="10">
        <v>12.0</v>
      </c>
      <c r="F51" s="10">
        <v>6.0</v>
      </c>
      <c r="G51" s="10">
        <v>53.0</v>
      </c>
      <c r="H51" s="13"/>
    </row>
    <row r="52">
      <c r="A52" s="7" t="s">
        <v>196</v>
      </c>
      <c r="B52" s="10">
        <v>16.0</v>
      </c>
      <c r="C52" s="10">
        <v>14.0</v>
      </c>
      <c r="D52" s="10">
        <v>13.0</v>
      </c>
      <c r="E52" s="10">
        <v>15.0</v>
      </c>
      <c r="F52" s="10">
        <v>9.0</v>
      </c>
      <c r="G52" s="10">
        <v>67.0</v>
      </c>
      <c r="H52" s="13"/>
    </row>
    <row r="53">
      <c r="A53" s="7" t="s">
        <v>159</v>
      </c>
      <c r="B53" s="10">
        <v>10.0</v>
      </c>
      <c r="C53" s="10">
        <v>10.0</v>
      </c>
      <c r="D53" s="10">
        <v>12.0</v>
      </c>
      <c r="E53" s="10">
        <v>10.0</v>
      </c>
      <c r="F53" s="10">
        <v>9.0</v>
      </c>
      <c r="G53" s="10">
        <v>51.0</v>
      </c>
      <c r="H53" s="13"/>
    </row>
    <row r="54">
      <c r="A54" s="7" t="s">
        <v>61</v>
      </c>
      <c r="B54" s="10">
        <v>4.0</v>
      </c>
      <c r="C54" s="10">
        <v>4.0</v>
      </c>
      <c r="D54" s="10">
        <v>4.0</v>
      </c>
      <c r="E54" s="10">
        <v>4.0</v>
      </c>
      <c r="F54" s="10">
        <v>3.0</v>
      </c>
      <c r="G54" s="10">
        <v>19.0</v>
      </c>
      <c r="H54" s="13"/>
    </row>
    <row r="55">
      <c r="A55" s="7" t="s">
        <v>201</v>
      </c>
      <c r="B55" s="10">
        <v>17.0</v>
      </c>
      <c r="C55" s="10">
        <v>12.0</v>
      </c>
      <c r="D55" s="10">
        <v>12.0</v>
      </c>
      <c r="E55" s="10">
        <v>20.0</v>
      </c>
      <c r="F55" s="10">
        <v>16.0</v>
      </c>
      <c r="G55" s="10">
        <v>77.0</v>
      </c>
      <c r="H55" s="13"/>
    </row>
    <row r="56">
      <c r="A56" s="7" t="s">
        <v>100</v>
      </c>
      <c r="B56" s="10">
        <v>15.0</v>
      </c>
      <c r="C56" s="10">
        <v>14.0</v>
      </c>
      <c r="D56" s="10">
        <v>6.0</v>
      </c>
      <c r="E56" s="10">
        <v>13.0</v>
      </c>
      <c r="F56" s="10">
        <v>18.0</v>
      </c>
      <c r="G56" s="10">
        <v>66.0</v>
      </c>
      <c r="H56" s="13"/>
    </row>
    <row r="57">
      <c r="A57" s="7" t="s">
        <v>30</v>
      </c>
      <c r="B57" s="10">
        <v>15.0</v>
      </c>
      <c r="C57" s="10">
        <v>15.0</v>
      </c>
      <c r="D57" s="10">
        <v>19.0</v>
      </c>
      <c r="E57" s="10">
        <v>20.0</v>
      </c>
      <c r="F57" s="10">
        <v>19.0</v>
      </c>
      <c r="G57" s="10">
        <v>88.0</v>
      </c>
      <c r="H57" s="13"/>
    </row>
    <row r="58">
      <c r="A58" s="7" t="s">
        <v>169</v>
      </c>
      <c r="B58" s="10">
        <v>18.0</v>
      </c>
      <c r="C58" s="10">
        <v>16.0</v>
      </c>
      <c r="D58" s="10">
        <v>19.0</v>
      </c>
      <c r="E58" s="10">
        <v>20.0</v>
      </c>
      <c r="F58" s="10">
        <v>20.0</v>
      </c>
      <c r="G58" s="10">
        <v>93.0</v>
      </c>
      <c r="H58" s="13"/>
    </row>
    <row r="59">
      <c r="A59" s="7" t="s">
        <v>42</v>
      </c>
      <c r="B59" s="10">
        <v>19.0</v>
      </c>
      <c r="C59" s="10">
        <v>17.0</v>
      </c>
      <c r="D59" s="10">
        <v>18.0</v>
      </c>
      <c r="E59" s="10">
        <v>20.0</v>
      </c>
      <c r="F59" s="10">
        <v>19.0</v>
      </c>
      <c r="G59" s="10">
        <v>93.0</v>
      </c>
      <c r="H59" s="13"/>
    </row>
    <row r="60">
      <c r="A60" s="7" t="s">
        <v>148</v>
      </c>
      <c r="B60" s="10">
        <v>19.0</v>
      </c>
      <c r="C60" s="10">
        <v>19.0</v>
      </c>
      <c r="D60" s="10">
        <v>12.0</v>
      </c>
      <c r="E60" s="10">
        <v>12.0</v>
      </c>
      <c r="F60" s="10">
        <v>16.0</v>
      </c>
      <c r="G60" s="10">
        <v>78.0</v>
      </c>
      <c r="H60" s="13"/>
    </row>
    <row r="61">
      <c r="A61" s="7" t="s">
        <v>132</v>
      </c>
      <c r="B61" s="10">
        <v>17.0</v>
      </c>
      <c r="C61" s="10">
        <v>15.0</v>
      </c>
      <c r="D61" s="10">
        <v>12.0</v>
      </c>
      <c r="E61" s="10">
        <v>16.0</v>
      </c>
      <c r="F61" s="10">
        <v>15.0</v>
      </c>
      <c r="G61" s="10">
        <v>75.0</v>
      </c>
      <c r="H61" s="13"/>
    </row>
    <row r="62">
      <c r="A62" s="7" t="s">
        <v>200</v>
      </c>
      <c r="B62" s="10">
        <v>16.0</v>
      </c>
      <c r="C62" s="10">
        <v>12.0</v>
      </c>
      <c r="D62" s="10">
        <v>17.0</v>
      </c>
      <c r="E62" s="10">
        <v>14.0</v>
      </c>
      <c r="F62" s="10">
        <v>12.0</v>
      </c>
      <c r="G62" s="10">
        <v>71.0</v>
      </c>
      <c r="H62" s="13"/>
    </row>
    <row r="63">
      <c r="A63" s="7" t="s">
        <v>71</v>
      </c>
      <c r="B63" s="10">
        <v>12.0</v>
      </c>
      <c r="C63" s="10">
        <v>12.0</v>
      </c>
      <c r="D63" s="10">
        <v>12.0</v>
      </c>
      <c r="E63" s="10">
        <v>12.0</v>
      </c>
      <c r="F63" s="10">
        <v>12.0</v>
      </c>
      <c r="G63" s="10">
        <v>60.0</v>
      </c>
      <c r="H63" s="13"/>
    </row>
    <row r="64">
      <c r="A64" s="7" t="s">
        <v>202</v>
      </c>
      <c r="B64" s="10">
        <v>12.0</v>
      </c>
      <c r="C64" s="10">
        <v>13.0</v>
      </c>
      <c r="D64" s="10">
        <v>17.0</v>
      </c>
      <c r="E64" s="10">
        <v>20.0</v>
      </c>
      <c r="F64" s="10">
        <v>9.0</v>
      </c>
      <c r="G64" s="10">
        <v>71.0</v>
      </c>
      <c r="H64" s="13"/>
    </row>
    <row r="65">
      <c r="A65" s="7" t="s">
        <v>72</v>
      </c>
      <c r="B65" s="10">
        <v>18.0</v>
      </c>
      <c r="C65" s="10">
        <v>20.0</v>
      </c>
      <c r="D65" s="10">
        <v>18.0</v>
      </c>
      <c r="E65" s="10">
        <v>19.0</v>
      </c>
      <c r="F65" s="10">
        <v>20.0</v>
      </c>
      <c r="G65" s="10">
        <v>95.0</v>
      </c>
      <c r="H65" s="13"/>
    </row>
    <row r="66">
      <c r="A66" s="7" t="s">
        <v>115</v>
      </c>
      <c r="B66" s="10">
        <v>15.0</v>
      </c>
      <c r="C66" s="10">
        <v>10.0</v>
      </c>
      <c r="D66" s="10">
        <v>15.0</v>
      </c>
      <c r="E66" s="10">
        <v>12.0</v>
      </c>
      <c r="F66" s="10">
        <v>11.0</v>
      </c>
      <c r="G66" s="10">
        <v>63.0</v>
      </c>
      <c r="H66" s="7" t="s">
        <v>214</v>
      </c>
    </row>
    <row r="67">
      <c r="A67" s="7" t="s">
        <v>139</v>
      </c>
      <c r="B67" s="10">
        <v>9.0</v>
      </c>
      <c r="C67" s="10">
        <v>12.0</v>
      </c>
      <c r="D67" s="10">
        <v>8.0</v>
      </c>
      <c r="E67" s="10">
        <v>7.0</v>
      </c>
      <c r="F67" s="10">
        <v>6.0</v>
      </c>
      <c r="G67" s="10">
        <v>42.0</v>
      </c>
      <c r="H67" s="7" t="s">
        <v>216</v>
      </c>
    </row>
    <row r="68">
      <c r="A68" s="7" t="s">
        <v>205</v>
      </c>
      <c r="B68" s="10">
        <v>12.0</v>
      </c>
      <c r="C68" s="10">
        <v>12.0</v>
      </c>
      <c r="D68" s="10">
        <v>8.0</v>
      </c>
      <c r="E68" s="10">
        <v>7.0</v>
      </c>
      <c r="F68" s="10">
        <v>6.0</v>
      </c>
      <c r="G68" s="10">
        <v>45.0</v>
      </c>
      <c r="H68" s="7" t="s">
        <v>220</v>
      </c>
    </row>
    <row r="69">
      <c r="A69" s="7" t="s">
        <v>221</v>
      </c>
      <c r="B69" s="10">
        <v>14.0</v>
      </c>
      <c r="C69" s="10">
        <v>15.0</v>
      </c>
      <c r="D69" s="10">
        <v>13.0</v>
      </c>
      <c r="E69" s="10">
        <v>15.0</v>
      </c>
      <c r="F69" s="10">
        <v>14.0</v>
      </c>
      <c r="G69" s="10">
        <v>71.0</v>
      </c>
      <c r="H69" s="7" t="s">
        <v>224</v>
      </c>
    </row>
    <row r="70">
      <c r="A70" s="7" t="s">
        <v>85</v>
      </c>
      <c r="B70" s="10">
        <v>12.0</v>
      </c>
      <c r="C70" s="10">
        <v>12.0</v>
      </c>
      <c r="D70" s="10">
        <v>9.0</v>
      </c>
      <c r="E70" s="10">
        <v>10.0</v>
      </c>
      <c r="F70" s="10">
        <v>5.0</v>
      </c>
      <c r="G70" s="10">
        <v>48.0</v>
      </c>
      <c r="H70" s="7" t="s">
        <v>226</v>
      </c>
    </row>
    <row r="71">
      <c r="A71" s="7" t="s">
        <v>227</v>
      </c>
      <c r="B71" s="10">
        <v>10.0</v>
      </c>
      <c r="C71" s="10">
        <v>9.0</v>
      </c>
      <c r="D71" s="10">
        <v>10.0</v>
      </c>
      <c r="E71" s="10">
        <v>10.0</v>
      </c>
      <c r="F71" s="10">
        <v>7.0</v>
      </c>
      <c r="G71" s="10">
        <v>46.0</v>
      </c>
      <c r="H71" s="7" t="s">
        <v>229</v>
      </c>
    </row>
    <row r="72">
      <c r="A72" s="7" t="s">
        <v>202</v>
      </c>
      <c r="B72" s="10">
        <v>4.0</v>
      </c>
      <c r="C72" s="10">
        <v>4.0</v>
      </c>
      <c r="D72" s="10">
        <v>5.0</v>
      </c>
      <c r="E72" s="10">
        <v>5.0</v>
      </c>
      <c r="F72" s="10">
        <v>3.0</v>
      </c>
      <c r="G72" s="10">
        <v>21.0</v>
      </c>
      <c r="H72" s="7" t="s">
        <v>231</v>
      </c>
    </row>
    <row r="73">
      <c r="A73" s="7" t="s">
        <v>73</v>
      </c>
      <c r="B73" s="10">
        <v>7.0</v>
      </c>
      <c r="C73" s="10">
        <v>8.0</v>
      </c>
      <c r="D73" s="10">
        <v>8.0</v>
      </c>
      <c r="E73" s="10">
        <v>6.0</v>
      </c>
      <c r="F73" s="10">
        <v>6.0</v>
      </c>
      <c r="G73" s="10">
        <v>35.0</v>
      </c>
      <c r="H73" s="7" t="s">
        <v>233</v>
      </c>
    </row>
    <row r="74">
      <c r="A74" s="7" t="s">
        <v>108</v>
      </c>
      <c r="B74" s="10">
        <v>8.0</v>
      </c>
      <c r="C74" s="10">
        <v>6.0</v>
      </c>
      <c r="D74" s="10">
        <v>5.0</v>
      </c>
      <c r="E74" s="10">
        <v>6.0</v>
      </c>
      <c r="F74" s="10">
        <v>5.0</v>
      </c>
      <c r="G74" s="10">
        <v>30.0</v>
      </c>
      <c r="H74" s="7" t="s">
        <v>237</v>
      </c>
    </row>
    <row r="75">
      <c r="A75" s="7" t="s">
        <v>238</v>
      </c>
      <c r="B75" s="10">
        <v>4.0</v>
      </c>
      <c r="C75" s="10">
        <v>4.0</v>
      </c>
      <c r="D75" s="10">
        <v>4.0</v>
      </c>
      <c r="E75" s="10">
        <v>4.0</v>
      </c>
      <c r="F75" s="10">
        <v>3.0</v>
      </c>
      <c r="G75" s="10">
        <v>19.0</v>
      </c>
      <c r="H75" s="7" t="s">
        <v>241</v>
      </c>
    </row>
    <row r="76">
      <c r="A76" s="7" t="s">
        <v>116</v>
      </c>
      <c r="B76" s="10">
        <v>12.0</v>
      </c>
      <c r="C76" s="10">
        <v>12.0</v>
      </c>
      <c r="D76" s="10">
        <v>12.0</v>
      </c>
      <c r="E76" s="10">
        <v>16.0</v>
      </c>
      <c r="F76" s="10">
        <v>3.0</v>
      </c>
      <c r="G76" s="10">
        <v>55.0</v>
      </c>
      <c r="H76" s="13"/>
    </row>
    <row r="77">
      <c r="A77" s="7" t="s">
        <v>243</v>
      </c>
      <c r="B77" s="10">
        <v>12.0</v>
      </c>
      <c r="C77" s="10">
        <v>10.0</v>
      </c>
      <c r="D77" s="10">
        <v>12.0</v>
      </c>
      <c r="E77" s="10">
        <v>10.0</v>
      </c>
      <c r="F77" s="10">
        <v>6.0</v>
      </c>
      <c r="G77" s="10">
        <v>50.0</v>
      </c>
      <c r="H77" s="13"/>
    </row>
    <row r="78">
      <c r="A78" s="7" t="s">
        <v>45</v>
      </c>
      <c r="B78" s="10">
        <v>12.0</v>
      </c>
      <c r="C78" s="10">
        <v>8.0</v>
      </c>
      <c r="D78" s="10">
        <v>13.0</v>
      </c>
      <c r="E78" s="10">
        <v>14.0</v>
      </c>
      <c r="F78" s="10">
        <v>6.0</v>
      </c>
      <c r="G78" s="10">
        <v>53.0</v>
      </c>
      <c r="H78" s="13"/>
    </row>
    <row r="79">
      <c r="A79" s="7" t="s">
        <v>228</v>
      </c>
      <c r="B79" s="10">
        <v>16.0</v>
      </c>
      <c r="C79" s="10">
        <v>16.0</v>
      </c>
      <c r="D79" s="10">
        <v>16.0</v>
      </c>
      <c r="E79" s="10">
        <v>16.0</v>
      </c>
      <c r="F79" s="10">
        <v>12.0</v>
      </c>
      <c r="G79" s="10">
        <v>76.0</v>
      </c>
      <c r="H79" s="13"/>
    </row>
    <row r="80">
      <c r="A80" s="7" t="s">
        <v>123</v>
      </c>
      <c r="B80" s="10">
        <v>12.0</v>
      </c>
      <c r="C80" s="10">
        <v>12.0</v>
      </c>
      <c r="D80" s="10">
        <v>15.0</v>
      </c>
      <c r="E80" s="10">
        <v>0.0</v>
      </c>
      <c r="F80" s="10">
        <v>9.0</v>
      </c>
      <c r="G80" s="10">
        <v>48.0</v>
      </c>
      <c r="H80" s="13"/>
    </row>
    <row r="81">
      <c r="A81" s="7" t="s">
        <v>253</v>
      </c>
      <c r="B81" s="10">
        <v>11.0</v>
      </c>
      <c r="C81" s="10">
        <v>11.0</v>
      </c>
      <c r="D81" s="10">
        <v>12.0</v>
      </c>
      <c r="E81" s="10">
        <v>9.0</v>
      </c>
      <c r="F81" s="10">
        <v>7.0</v>
      </c>
      <c r="G81" s="10">
        <v>50.0</v>
      </c>
      <c r="H81" s="13"/>
    </row>
    <row r="82">
      <c r="A82" s="7" t="s">
        <v>254</v>
      </c>
      <c r="B82" s="10">
        <v>16.0</v>
      </c>
      <c r="C82" s="10">
        <v>14.0</v>
      </c>
      <c r="D82" s="10">
        <v>14.0</v>
      </c>
      <c r="E82" s="10">
        <v>16.0</v>
      </c>
      <c r="F82" s="10">
        <v>12.0</v>
      </c>
      <c r="G82" s="10">
        <v>72.0</v>
      </c>
      <c r="H82" s="13"/>
    </row>
    <row r="83">
      <c r="A83" s="7" t="s">
        <v>234</v>
      </c>
      <c r="B83" s="10">
        <v>11.0</v>
      </c>
      <c r="C83" s="10">
        <v>12.0</v>
      </c>
      <c r="D83" s="10">
        <v>14.0</v>
      </c>
      <c r="E83" s="10">
        <v>14.0</v>
      </c>
      <c r="F83" s="10">
        <v>6.0</v>
      </c>
      <c r="G83" s="10">
        <v>57.0</v>
      </c>
      <c r="H83" s="13"/>
    </row>
    <row r="84">
      <c r="A84" s="7" t="s">
        <v>259</v>
      </c>
      <c r="B84" s="10">
        <v>10.0</v>
      </c>
      <c r="C84" s="10">
        <v>9.0</v>
      </c>
      <c r="D84" s="10">
        <v>11.0</v>
      </c>
      <c r="E84" s="10">
        <v>9.0</v>
      </c>
      <c r="F84" s="10">
        <v>3.0</v>
      </c>
      <c r="G84" s="10">
        <v>42.0</v>
      </c>
      <c r="H84" s="13"/>
    </row>
    <row r="85">
      <c r="A85" s="7" t="s">
        <v>112</v>
      </c>
      <c r="B85" s="10">
        <v>9.0</v>
      </c>
      <c r="C85" s="10">
        <v>8.0</v>
      </c>
      <c r="D85" s="10">
        <v>10.0</v>
      </c>
      <c r="E85" s="10">
        <v>11.0</v>
      </c>
      <c r="F85" s="10">
        <v>3.0</v>
      </c>
      <c r="G85" s="10">
        <v>41.0</v>
      </c>
      <c r="H85" s="13"/>
    </row>
    <row r="86">
      <c r="A86" s="7" t="s">
        <v>210</v>
      </c>
      <c r="B86" s="10">
        <v>9.0</v>
      </c>
      <c r="C86" s="10">
        <v>10.0</v>
      </c>
      <c r="D86" s="10">
        <v>12.0</v>
      </c>
      <c r="E86" s="10">
        <v>6.0</v>
      </c>
      <c r="F86" s="10">
        <v>3.0</v>
      </c>
      <c r="G86" s="10">
        <v>40.0</v>
      </c>
      <c r="H86" s="13"/>
    </row>
    <row r="87">
      <c r="A87" s="7" t="s">
        <v>110</v>
      </c>
      <c r="B87" s="10">
        <v>11.0</v>
      </c>
      <c r="C87" s="10">
        <v>5.0</v>
      </c>
      <c r="D87" s="10">
        <v>11.0</v>
      </c>
      <c r="E87" s="10">
        <v>11.0</v>
      </c>
      <c r="F87" s="10">
        <v>3.0</v>
      </c>
      <c r="G87" s="10">
        <v>41.0</v>
      </c>
      <c r="H87" s="13"/>
    </row>
    <row r="88">
      <c r="A88" s="7" t="s">
        <v>209</v>
      </c>
      <c r="B88" s="10">
        <v>16.0</v>
      </c>
      <c r="C88" s="10">
        <v>16.0</v>
      </c>
      <c r="D88" s="10">
        <v>11.0</v>
      </c>
      <c r="E88" s="10">
        <v>11.0</v>
      </c>
      <c r="F88" s="10">
        <v>12.0</v>
      </c>
      <c r="G88" s="10">
        <v>66.0</v>
      </c>
      <c r="H88" s="13"/>
    </row>
    <row r="89">
      <c r="A89" s="7" t="s">
        <v>37</v>
      </c>
      <c r="B89" s="10">
        <v>12.0</v>
      </c>
      <c r="C89" s="10">
        <v>13.0</v>
      </c>
      <c r="D89" s="10">
        <v>12.0</v>
      </c>
      <c r="E89" s="10">
        <v>9.0</v>
      </c>
      <c r="F89" s="10">
        <v>14.0</v>
      </c>
      <c r="G89" s="10">
        <v>60.0</v>
      </c>
      <c r="H89" s="13"/>
    </row>
    <row r="90">
      <c r="A90" s="7" t="s">
        <v>47</v>
      </c>
      <c r="B90" s="10">
        <v>16.0</v>
      </c>
      <c r="C90" s="10">
        <v>16.0</v>
      </c>
      <c r="D90" s="10">
        <v>10.0</v>
      </c>
      <c r="E90" s="10">
        <v>11.0</v>
      </c>
      <c r="F90" s="10">
        <v>10.0</v>
      </c>
      <c r="G90" s="10">
        <v>63.0</v>
      </c>
      <c r="H90" s="13"/>
    </row>
    <row r="91">
      <c r="A91" s="7" t="s">
        <v>271</v>
      </c>
      <c r="B91" s="10">
        <v>13.0</v>
      </c>
      <c r="C91" s="10">
        <v>13.0</v>
      </c>
      <c r="D91" s="10">
        <v>11.0</v>
      </c>
      <c r="E91" s="10">
        <v>10.0</v>
      </c>
      <c r="F91" s="10">
        <v>12.0</v>
      </c>
      <c r="G91" s="10">
        <v>59.0</v>
      </c>
      <c r="H91" s="13"/>
    </row>
    <row r="92">
      <c r="A92" s="7" t="s">
        <v>70</v>
      </c>
      <c r="B92" s="10">
        <v>11.0</v>
      </c>
      <c r="C92" s="10">
        <v>10.0</v>
      </c>
      <c r="D92" s="10">
        <v>10.0</v>
      </c>
      <c r="E92" s="10">
        <v>10.0</v>
      </c>
      <c r="F92" s="10">
        <v>9.0</v>
      </c>
      <c r="G92" s="10">
        <v>50.0</v>
      </c>
      <c r="H92" s="13"/>
    </row>
    <row r="93">
      <c r="A93" s="7" t="s">
        <v>43</v>
      </c>
      <c r="B93" s="10">
        <v>10.0</v>
      </c>
      <c r="C93" s="10">
        <v>9.0</v>
      </c>
      <c r="D93" s="10">
        <v>8.0</v>
      </c>
      <c r="E93" s="10">
        <v>10.0</v>
      </c>
      <c r="F93" s="10">
        <v>11.0</v>
      </c>
      <c r="G93" s="10">
        <v>48.0</v>
      </c>
      <c r="H93" s="13"/>
    </row>
    <row r="94">
      <c r="A94" s="7" t="s">
        <v>103</v>
      </c>
      <c r="B94" s="10">
        <v>12.0</v>
      </c>
      <c r="C94" s="10">
        <v>14.0</v>
      </c>
      <c r="D94" s="10">
        <v>11.0</v>
      </c>
      <c r="E94" s="10">
        <v>12.0</v>
      </c>
      <c r="F94" s="10">
        <v>10.0</v>
      </c>
      <c r="G94" s="10">
        <v>59.0</v>
      </c>
      <c r="H94" s="13"/>
    </row>
    <row r="95">
      <c r="A95" s="7" t="s">
        <v>145</v>
      </c>
      <c r="B95" s="10">
        <v>13.0</v>
      </c>
      <c r="C95" s="10">
        <v>13.0</v>
      </c>
      <c r="D95" s="10">
        <v>12.0</v>
      </c>
      <c r="E95" s="10">
        <v>10.0</v>
      </c>
      <c r="F95" s="10">
        <v>12.0</v>
      </c>
      <c r="G95" s="10">
        <v>60.0</v>
      </c>
      <c r="H95" s="13"/>
    </row>
    <row r="96">
      <c r="A96" s="7" t="s">
        <v>98</v>
      </c>
      <c r="B96" s="10">
        <v>13.0</v>
      </c>
      <c r="C96" s="10">
        <v>12.0</v>
      </c>
      <c r="D96" s="10">
        <v>9.0</v>
      </c>
      <c r="E96" s="10">
        <v>10.0</v>
      </c>
      <c r="F96" s="10">
        <v>8.0</v>
      </c>
      <c r="G96" s="10">
        <v>52.0</v>
      </c>
      <c r="H96" s="13"/>
    </row>
    <row r="97">
      <c r="A97" s="7" t="s">
        <v>75</v>
      </c>
      <c r="B97" s="10">
        <v>8.0</v>
      </c>
      <c r="C97" s="10">
        <v>10.0</v>
      </c>
      <c r="D97" s="10">
        <v>11.0</v>
      </c>
      <c r="E97" s="10">
        <v>11.0</v>
      </c>
      <c r="F97" s="10">
        <v>13.0</v>
      </c>
      <c r="G97" s="10">
        <v>53.0</v>
      </c>
      <c r="H97" s="13"/>
    </row>
    <row r="98">
      <c r="A98" s="7" t="s">
        <v>288</v>
      </c>
      <c r="B98" s="10">
        <v>12.0</v>
      </c>
      <c r="C98" s="10">
        <v>13.0</v>
      </c>
      <c r="D98" s="10">
        <v>13.0</v>
      </c>
      <c r="E98" s="10">
        <v>12.0</v>
      </c>
      <c r="F98" s="10">
        <v>12.0</v>
      </c>
      <c r="G98" s="10">
        <v>62.0</v>
      </c>
      <c r="H98" s="13"/>
    </row>
    <row r="99">
      <c r="A99" s="7" t="s">
        <v>191</v>
      </c>
      <c r="B99" s="10">
        <v>4.0</v>
      </c>
      <c r="C99" s="10">
        <v>2.0</v>
      </c>
      <c r="D99" s="10">
        <v>2.0</v>
      </c>
      <c r="E99" s="10">
        <v>2.0</v>
      </c>
      <c r="F99" s="10">
        <v>3.0</v>
      </c>
      <c r="G99" s="10">
        <v>13.0</v>
      </c>
      <c r="H99" s="13"/>
    </row>
    <row r="100">
      <c r="A100" s="7" t="s">
        <v>251</v>
      </c>
      <c r="B100" s="10">
        <v>17.0</v>
      </c>
      <c r="C100" s="10">
        <v>16.0</v>
      </c>
      <c r="D100" s="10">
        <v>18.0</v>
      </c>
      <c r="E100" s="10">
        <v>13.0</v>
      </c>
      <c r="F100" s="10">
        <v>15.0</v>
      </c>
      <c r="G100" s="10">
        <v>79.0</v>
      </c>
      <c r="H100" s="13"/>
    </row>
    <row r="101">
      <c r="A101" s="7" t="s">
        <v>292</v>
      </c>
      <c r="B101" s="10">
        <v>19.0</v>
      </c>
      <c r="C101" s="10">
        <v>16.0</v>
      </c>
      <c r="D101" s="10">
        <v>9.0</v>
      </c>
      <c r="E101" s="10">
        <v>17.0</v>
      </c>
      <c r="F101" s="10">
        <v>17.0</v>
      </c>
      <c r="G101" s="10">
        <v>78.0</v>
      </c>
      <c r="H101" s="13"/>
    </row>
    <row r="102">
      <c r="A102" s="7" t="s">
        <v>265</v>
      </c>
      <c r="B102" s="10">
        <v>18.0</v>
      </c>
      <c r="C102" s="10">
        <v>18.0</v>
      </c>
      <c r="D102" s="10">
        <v>15.0</v>
      </c>
      <c r="E102" s="10">
        <v>17.0</v>
      </c>
      <c r="F102" s="10">
        <v>16.0</v>
      </c>
      <c r="G102" s="10">
        <v>84.0</v>
      </c>
      <c r="H102" s="13"/>
    </row>
    <row r="103">
      <c r="A103" s="7" t="s">
        <v>297</v>
      </c>
      <c r="B103" s="10">
        <v>13.0</v>
      </c>
      <c r="C103" s="10">
        <v>13.0</v>
      </c>
      <c r="D103" s="10">
        <v>14.0</v>
      </c>
      <c r="E103" s="10">
        <v>16.0</v>
      </c>
      <c r="F103" s="10">
        <v>17.0</v>
      </c>
      <c r="G103" s="10">
        <v>73.0</v>
      </c>
      <c r="H103" s="13"/>
    </row>
    <row r="104">
      <c r="A104" s="7" t="s">
        <v>291</v>
      </c>
      <c r="B104" s="10">
        <v>17.0</v>
      </c>
      <c r="C104" s="10">
        <v>15.0</v>
      </c>
      <c r="D104" s="10">
        <v>15.0</v>
      </c>
      <c r="E104" s="10">
        <v>16.0</v>
      </c>
      <c r="F104" s="10">
        <v>15.0</v>
      </c>
      <c r="G104" s="10">
        <v>78.0</v>
      </c>
      <c r="H104" s="13"/>
    </row>
    <row r="105">
      <c r="A105" s="7" t="s">
        <v>302</v>
      </c>
      <c r="B105" s="10">
        <v>16.0</v>
      </c>
      <c r="C105" s="10">
        <v>15.0</v>
      </c>
      <c r="D105" s="10">
        <v>16.0</v>
      </c>
      <c r="E105" s="10">
        <v>17.0</v>
      </c>
      <c r="F105" s="10">
        <v>16.0</v>
      </c>
      <c r="G105" s="10">
        <v>80.0</v>
      </c>
      <c r="H105" s="13"/>
    </row>
    <row r="106">
      <c r="A106" s="7" t="s">
        <v>304</v>
      </c>
      <c r="B106" s="10">
        <v>14.0</v>
      </c>
      <c r="C106" s="10">
        <v>18.0</v>
      </c>
      <c r="D106" s="10">
        <v>18.0</v>
      </c>
      <c r="E106" s="10">
        <v>15.0</v>
      </c>
      <c r="F106" s="10">
        <v>11.0</v>
      </c>
      <c r="G106" s="10">
        <v>76.0</v>
      </c>
      <c r="H106" s="13"/>
    </row>
    <row r="107">
      <c r="A107" s="7" t="s">
        <v>307</v>
      </c>
      <c r="B107" s="10">
        <v>19.0</v>
      </c>
      <c r="C107" s="10">
        <v>17.0</v>
      </c>
      <c r="D107" s="10">
        <v>17.0</v>
      </c>
      <c r="E107" s="10">
        <v>16.0</v>
      </c>
      <c r="F107" s="10">
        <v>16.0</v>
      </c>
      <c r="G107" s="10">
        <v>85.0</v>
      </c>
      <c r="H107" s="13"/>
    </row>
    <row r="108">
      <c r="A108" s="7" t="s">
        <v>309</v>
      </c>
      <c r="B108" s="10">
        <v>20.0</v>
      </c>
      <c r="C108" s="10">
        <v>19.0</v>
      </c>
      <c r="D108" s="10">
        <v>20.0</v>
      </c>
      <c r="E108" s="10">
        <v>15.0</v>
      </c>
      <c r="F108" s="10">
        <v>18.0</v>
      </c>
      <c r="G108" s="10">
        <v>92.0</v>
      </c>
      <c r="H108" s="13"/>
    </row>
    <row r="109">
      <c r="A109" s="7" t="s">
        <v>311</v>
      </c>
      <c r="B109" s="10">
        <v>17.0</v>
      </c>
      <c r="C109" s="10">
        <v>16.0</v>
      </c>
      <c r="D109" s="10">
        <v>17.0</v>
      </c>
      <c r="E109" s="10">
        <v>19.0</v>
      </c>
      <c r="F109" s="10">
        <v>12.0</v>
      </c>
      <c r="G109" s="10">
        <v>81.0</v>
      </c>
      <c r="H109" s="13"/>
    </row>
    <row r="110">
      <c r="A110" s="7" t="s">
        <v>55</v>
      </c>
      <c r="B110" s="10">
        <v>10.0</v>
      </c>
      <c r="C110" s="10">
        <v>12.0</v>
      </c>
      <c r="D110" s="10">
        <v>16.0</v>
      </c>
      <c r="E110" s="10">
        <v>12.0</v>
      </c>
      <c r="F110" s="10">
        <v>9.0</v>
      </c>
      <c r="G110" s="10">
        <v>59.0</v>
      </c>
      <c r="H110" s="13"/>
    </row>
    <row r="111">
      <c r="A111" s="7" t="s">
        <v>77</v>
      </c>
      <c r="B111" s="10">
        <v>13.0</v>
      </c>
      <c r="C111" s="10">
        <v>16.0</v>
      </c>
      <c r="D111" s="10">
        <v>16.0</v>
      </c>
      <c r="E111" s="10">
        <v>16.0</v>
      </c>
      <c r="F111" s="10">
        <v>12.0</v>
      </c>
      <c r="G111" s="10">
        <v>73.0</v>
      </c>
      <c r="H111" s="13"/>
    </row>
    <row r="112">
      <c r="A112" s="7" t="s">
        <v>195</v>
      </c>
      <c r="B112" s="10">
        <v>11.0</v>
      </c>
      <c r="C112" s="10">
        <v>11.0</v>
      </c>
      <c r="D112" s="10">
        <v>16.0</v>
      </c>
      <c r="E112" s="10">
        <v>12.0</v>
      </c>
      <c r="F112" s="10">
        <v>9.0</v>
      </c>
      <c r="G112" s="10">
        <v>59.0</v>
      </c>
      <c r="H112" s="13"/>
    </row>
    <row r="113">
      <c r="A113" s="7" t="s">
        <v>320</v>
      </c>
      <c r="B113" s="10">
        <v>16.0</v>
      </c>
      <c r="C113" s="10">
        <v>12.0</v>
      </c>
      <c r="D113" s="10">
        <v>15.0</v>
      </c>
      <c r="E113" s="10">
        <v>12.0</v>
      </c>
      <c r="F113" s="10">
        <v>12.0</v>
      </c>
      <c r="G113" s="10">
        <v>67.0</v>
      </c>
      <c r="H113" s="13"/>
    </row>
    <row r="114">
      <c r="A114" s="7" t="s">
        <v>81</v>
      </c>
      <c r="B114" s="10">
        <v>15.0</v>
      </c>
      <c r="C114" s="10">
        <v>12.0</v>
      </c>
      <c r="D114" s="10">
        <v>16.0</v>
      </c>
      <c r="E114" s="10">
        <v>16.0</v>
      </c>
      <c r="F114" s="10">
        <v>12.0</v>
      </c>
      <c r="G114" s="10">
        <v>71.0</v>
      </c>
      <c r="H114" s="13"/>
    </row>
    <row r="115">
      <c r="A115" s="7" t="s">
        <v>245</v>
      </c>
      <c r="B115" s="10">
        <v>16.0</v>
      </c>
      <c r="C115" s="10">
        <v>16.0</v>
      </c>
      <c r="D115" s="10">
        <v>16.0</v>
      </c>
      <c r="E115" s="10">
        <v>16.0</v>
      </c>
      <c r="F115" s="10">
        <v>12.0</v>
      </c>
      <c r="G115" s="10">
        <v>76.0</v>
      </c>
      <c r="H115" s="13"/>
    </row>
    <row r="116">
      <c r="A116" s="7" t="s">
        <v>225</v>
      </c>
      <c r="B116" s="10">
        <v>16.0</v>
      </c>
      <c r="C116" s="10">
        <v>16.0</v>
      </c>
      <c r="D116" s="10">
        <v>16.0</v>
      </c>
      <c r="E116" s="10">
        <v>16.0</v>
      </c>
      <c r="F116" s="10">
        <v>12.0</v>
      </c>
      <c r="G116" s="10">
        <v>76.0</v>
      </c>
      <c r="H116" s="13"/>
    </row>
    <row r="117">
      <c r="A117" s="7" t="s">
        <v>248</v>
      </c>
      <c r="B117" s="10">
        <v>10.0</v>
      </c>
      <c r="C117" s="10">
        <v>9.0</v>
      </c>
      <c r="D117" s="10">
        <v>12.0</v>
      </c>
      <c r="E117" s="10">
        <v>10.0</v>
      </c>
      <c r="F117" s="10">
        <v>3.0</v>
      </c>
      <c r="G117" s="10">
        <v>44.0</v>
      </c>
      <c r="H117" s="13"/>
    </row>
    <row r="118">
      <c r="A118" s="7" t="s">
        <v>292</v>
      </c>
      <c r="B118" s="10">
        <v>16.0</v>
      </c>
      <c r="C118" s="10">
        <v>17.0</v>
      </c>
      <c r="D118" s="10">
        <v>18.0</v>
      </c>
      <c r="E118" s="10">
        <v>14.0</v>
      </c>
      <c r="F118" s="10">
        <v>9.0</v>
      </c>
      <c r="G118" s="10">
        <v>74.0</v>
      </c>
      <c r="H118" s="7" t="s">
        <v>331</v>
      </c>
    </row>
    <row r="119">
      <c r="A119" s="7" t="s">
        <v>333</v>
      </c>
      <c r="B119" s="10">
        <v>16.0</v>
      </c>
      <c r="C119" s="10">
        <v>17.0</v>
      </c>
      <c r="D119" s="10">
        <v>17.0</v>
      </c>
      <c r="E119" s="10">
        <v>18.0</v>
      </c>
      <c r="F119" s="10">
        <v>18.0</v>
      </c>
      <c r="G119" s="10">
        <v>86.0</v>
      </c>
      <c r="H119" s="13"/>
    </row>
    <row r="120">
      <c r="A120" s="7" t="s">
        <v>251</v>
      </c>
      <c r="B120" s="10">
        <v>10.0</v>
      </c>
      <c r="C120" s="10">
        <v>17.0</v>
      </c>
      <c r="D120" s="10">
        <v>19.0</v>
      </c>
      <c r="E120" s="10">
        <v>18.0</v>
      </c>
      <c r="F120" s="10">
        <v>18.0</v>
      </c>
      <c r="G120" s="10">
        <v>82.0</v>
      </c>
      <c r="H120" s="13"/>
    </row>
    <row r="121">
      <c r="A121" s="7" t="s">
        <v>291</v>
      </c>
      <c r="B121" s="10">
        <v>19.0</v>
      </c>
      <c r="C121" s="10">
        <v>19.0</v>
      </c>
      <c r="D121" s="10">
        <v>19.0</v>
      </c>
      <c r="E121" s="10">
        <v>19.0</v>
      </c>
      <c r="F121" s="10">
        <v>11.0</v>
      </c>
      <c r="G121" s="10">
        <v>87.0</v>
      </c>
      <c r="H121" s="13"/>
    </row>
    <row r="122">
      <c r="A122" s="7" t="s">
        <v>307</v>
      </c>
      <c r="B122" s="10">
        <v>20.0</v>
      </c>
      <c r="C122" s="10">
        <v>17.0</v>
      </c>
      <c r="D122" s="10">
        <v>18.0</v>
      </c>
      <c r="E122" s="10">
        <v>20.0</v>
      </c>
      <c r="F122" s="10">
        <v>17.0</v>
      </c>
      <c r="G122" s="10">
        <v>92.0</v>
      </c>
      <c r="H122" s="13"/>
    </row>
    <row r="123">
      <c r="A123" s="7" t="s">
        <v>297</v>
      </c>
      <c r="B123" s="10">
        <v>17.0</v>
      </c>
      <c r="C123" s="10">
        <v>19.0</v>
      </c>
      <c r="D123" s="10">
        <v>19.0</v>
      </c>
      <c r="E123" s="10">
        <v>20.0</v>
      </c>
      <c r="F123" s="10">
        <v>19.0</v>
      </c>
      <c r="G123" s="10">
        <v>94.0</v>
      </c>
      <c r="H123" s="13"/>
    </row>
    <row r="124">
      <c r="A124" s="7" t="s">
        <v>309</v>
      </c>
      <c r="B124" s="10">
        <v>19.0</v>
      </c>
      <c r="C124" s="10">
        <v>20.0</v>
      </c>
      <c r="D124" s="10">
        <v>19.0</v>
      </c>
      <c r="E124" s="10">
        <v>13.0</v>
      </c>
      <c r="F124" s="10">
        <v>20.0</v>
      </c>
      <c r="G124" s="10">
        <v>91.0</v>
      </c>
      <c r="H124" s="13"/>
    </row>
    <row r="125">
      <c r="A125" s="7" t="s">
        <v>302</v>
      </c>
      <c r="B125" s="10">
        <v>17.0</v>
      </c>
      <c r="C125" s="10">
        <v>13.0</v>
      </c>
      <c r="D125" s="10">
        <v>13.0</v>
      </c>
      <c r="E125" s="10">
        <v>12.0</v>
      </c>
      <c r="F125" s="10">
        <v>17.0</v>
      </c>
      <c r="G125" s="10">
        <v>72.0</v>
      </c>
      <c r="H125" s="13"/>
    </row>
    <row r="126">
      <c r="A126" s="7" t="s">
        <v>337</v>
      </c>
      <c r="B126" s="10">
        <v>18.0</v>
      </c>
      <c r="C126" s="10">
        <v>19.0</v>
      </c>
      <c r="D126" s="10">
        <v>19.0</v>
      </c>
      <c r="E126" s="10">
        <v>16.0</v>
      </c>
      <c r="F126" s="10">
        <v>18.0</v>
      </c>
      <c r="G126" s="10">
        <v>90.0</v>
      </c>
      <c r="H126" s="13"/>
    </row>
    <row r="127">
      <c r="A127" s="7" t="s">
        <v>304</v>
      </c>
      <c r="B127" s="10">
        <v>17.0</v>
      </c>
      <c r="C127" s="10">
        <v>17.0</v>
      </c>
      <c r="D127" s="10">
        <v>15.0</v>
      </c>
      <c r="E127" s="10">
        <v>13.0</v>
      </c>
      <c r="F127" s="10">
        <v>17.0</v>
      </c>
      <c r="G127" s="10">
        <v>79.0</v>
      </c>
      <c r="H127" s="13"/>
    </row>
    <row r="128">
      <c r="A128" s="7" t="s">
        <v>87</v>
      </c>
      <c r="B128" s="10">
        <v>11.0</v>
      </c>
      <c r="C128" s="10">
        <v>12.0</v>
      </c>
      <c r="D128" s="10">
        <v>12.0</v>
      </c>
      <c r="E128" s="10">
        <v>12.0</v>
      </c>
      <c r="F128" s="10">
        <v>7.0</v>
      </c>
      <c r="G128" s="10">
        <v>54.0</v>
      </c>
      <c r="H128" s="13"/>
    </row>
    <row r="129">
      <c r="A129" s="7" t="s">
        <v>246</v>
      </c>
      <c r="B129" s="10">
        <v>16.0</v>
      </c>
      <c r="C129" s="10">
        <v>16.0</v>
      </c>
      <c r="D129" s="10">
        <v>16.0</v>
      </c>
      <c r="E129" s="10">
        <v>16.0</v>
      </c>
      <c r="F129" s="10">
        <v>12.0</v>
      </c>
      <c r="G129" s="10">
        <v>76.0</v>
      </c>
      <c r="H129" s="13"/>
    </row>
    <row r="130">
      <c r="A130" s="7" t="s">
        <v>41</v>
      </c>
      <c r="B130" s="10">
        <v>10.0</v>
      </c>
      <c r="C130" s="10">
        <v>10.0</v>
      </c>
      <c r="D130" s="10">
        <v>12.0</v>
      </c>
      <c r="E130" s="10">
        <v>12.0</v>
      </c>
      <c r="F130" s="10">
        <v>6.0</v>
      </c>
      <c r="G130" s="10">
        <v>50.0</v>
      </c>
      <c r="H130" s="13"/>
    </row>
    <row r="131">
      <c r="A131" s="7" t="s">
        <v>126</v>
      </c>
      <c r="B131" s="10">
        <v>14.0</v>
      </c>
      <c r="C131" s="10">
        <v>15.0</v>
      </c>
      <c r="D131" s="10">
        <v>16.0</v>
      </c>
      <c r="E131" s="10">
        <v>16.0</v>
      </c>
      <c r="F131" s="10">
        <v>12.0</v>
      </c>
      <c r="G131" s="10">
        <v>73.0</v>
      </c>
      <c r="H131" s="13"/>
    </row>
    <row r="132">
      <c r="A132" s="7" t="s">
        <v>158</v>
      </c>
      <c r="B132" s="10">
        <v>15.0</v>
      </c>
      <c r="C132" s="10">
        <v>12.0</v>
      </c>
      <c r="D132" s="10">
        <v>14.0</v>
      </c>
      <c r="E132" s="10">
        <v>12.0</v>
      </c>
      <c r="F132" s="10">
        <v>9.0</v>
      </c>
      <c r="G132" s="10">
        <v>62.0</v>
      </c>
      <c r="H132" s="13"/>
    </row>
    <row r="133">
      <c r="A133" s="7" t="s">
        <v>78</v>
      </c>
      <c r="B133" s="10">
        <v>12.0</v>
      </c>
      <c r="C133" s="10">
        <v>8.0</v>
      </c>
      <c r="D133" s="10">
        <v>15.0</v>
      </c>
      <c r="E133" s="10">
        <v>10.0</v>
      </c>
      <c r="F133" s="10">
        <v>3.0</v>
      </c>
      <c r="G133" s="10">
        <v>48.0</v>
      </c>
      <c r="H133" s="13"/>
    </row>
    <row r="134">
      <c r="A134" s="7" t="s">
        <v>343</v>
      </c>
      <c r="B134" s="10">
        <v>12.0</v>
      </c>
      <c r="C134" s="10">
        <v>15.0</v>
      </c>
      <c r="D134" s="10">
        <v>12.0</v>
      </c>
      <c r="E134" s="10">
        <v>16.0</v>
      </c>
      <c r="F134" s="10">
        <v>8.0</v>
      </c>
      <c r="G134" s="10">
        <v>63.0</v>
      </c>
      <c r="H134" s="13"/>
    </row>
    <row r="135">
      <c r="A135" s="7" t="s">
        <v>55</v>
      </c>
      <c r="B135" s="10">
        <v>13.0</v>
      </c>
      <c r="C135" s="10">
        <v>12.0</v>
      </c>
      <c r="D135" s="10">
        <v>16.0</v>
      </c>
      <c r="E135" s="10">
        <v>10.0</v>
      </c>
      <c r="F135" s="10">
        <v>9.0</v>
      </c>
      <c r="G135" s="10">
        <v>60.0</v>
      </c>
      <c r="H135" s="13"/>
    </row>
    <row r="136">
      <c r="A136" s="7" t="s">
        <v>213</v>
      </c>
      <c r="B136" s="10">
        <v>12.0</v>
      </c>
      <c r="C136" s="10">
        <v>12.0</v>
      </c>
      <c r="D136" s="10">
        <v>14.0</v>
      </c>
      <c r="E136" s="10">
        <v>12.0</v>
      </c>
      <c r="F136" s="10">
        <v>9.0</v>
      </c>
      <c r="G136" s="10">
        <v>59.0</v>
      </c>
      <c r="H136" s="13"/>
    </row>
    <row r="137">
      <c r="A137" s="7" t="s">
        <v>145</v>
      </c>
      <c r="B137" s="10">
        <v>16.0</v>
      </c>
      <c r="C137" s="10">
        <v>16.0</v>
      </c>
      <c r="D137" s="10">
        <v>11.0</v>
      </c>
      <c r="E137" s="10">
        <v>12.0</v>
      </c>
      <c r="F137" s="10">
        <v>12.0</v>
      </c>
      <c r="G137" s="10">
        <v>67.0</v>
      </c>
      <c r="H137" s="7" t="s">
        <v>347</v>
      </c>
    </row>
    <row r="138">
      <c r="A138" s="7" t="s">
        <v>169</v>
      </c>
      <c r="B138" s="10">
        <v>16.0</v>
      </c>
      <c r="C138" s="10">
        <v>16.0</v>
      </c>
      <c r="D138" s="10">
        <v>9.0</v>
      </c>
      <c r="E138" s="10">
        <v>13.0</v>
      </c>
      <c r="F138" s="10">
        <v>12.0</v>
      </c>
      <c r="G138" s="10">
        <v>66.0</v>
      </c>
      <c r="H138" s="7" t="s">
        <v>348</v>
      </c>
    </row>
    <row r="139">
      <c r="A139" s="7" t="s">
        <v>126</v>
      </c>
      <c r="B139" s="10">
        <v>18.0</v>
      </c>
      <c r="C139" s="10">
        <v>20.0</v>
      </c>
      <c r="D139" s="10">
        <v>11.0</v>
      </c>
      <c r="E139" s="10">
        <v>14.0</v>
      </c>
      <c r="F139" s="10">
        <v>15.0</v>
      </c>
      <c r="G139" s="10">
        <v>78.0</v>
      </c>
      <c r="H139" s="13"/>
    </row>
    <row r="140">
      <c r="A140" s="7" t="s">
        <v>87</v>
      </c>
      <c r="B140" s="10">
        <v>14.0</v>
      </c>
      <c r="C140" s="10">
        <v>11.0</v>
      </c>
      <c r="D140" s="10">
        <v>8.0</v>
      </c>
      <c r="E140" s="10">
        <v>7.0</v>
      </c>
      <c r="F140" s="10">
        <v>9.0</v>
      </c>
      <c r="G140" s="10">
        <v>49.0</v>
      </c>
      <c r="H140" s="7" t="s">
        <v>350</v>
      </c>
    </row>
    <row r="141">
      <c r="A141" s="7" t="s">
        <v>158</v>
      </c>
      <c r="B141" s="10">
        <v>12.0</v>
      </c>
      <c r="C141" s="10">
        <v>12.0</v>
      </c>
      <c r="D141" s="10">
        <v>10.0</v>
      </c>
      <c r="E141" s="10">
        <v>11.0</v>
      </c>
      <c r="F141" s="10">
        <v>11.0</v>
      </c>
      <c r="G141" s="10">
        <v>56.0</v>
      </c>
      <c r="H141" s="7" t="s">
        <v>352</v>
      </c>
    </row>
    <row r="142">
      <c r="A142" s="7" t="s">
        <v>90</v>
      </c>
      <c r="B142" s="10">
        <v>10.0</v>
      </c>
      <c r="C142" s="10">
        <v>8.0</v>
      </c>
      <c r="D142" s="10">
        <v>6.0</v>
      </c>
      <c r="E142" s="10">
        <v>6.0</v>
      </c>
      <c r="F142" s="10">
        <v>6.0</v>
      </c>
      <c r="G142" s="10">
        <v>36.0</v>
      </c>
      <c r="H142" s="7" t="s">
        <v>353</v>
      </c>
    </row>
    <row r="143">
      <c r="A143" s="7" t="s">
        <v>73</v>
      </c>
      <c r="B143" s="10">
        <v>13.0</v>
      </c>
      <c r="C143" s="10">
        <v>10.0</v>
      </c>
      <c r="D143" s="10">
        <v>8.0</v>
      </c>
      <c r="E143" s="10">
        <v>11.0</v>
      </c>
      <c r="F143" s="10">
        <v>6.0</v>
      </c>
      <c r="G143" s="10">
        <v>48.0</v>
      </c>
      <c r="H143" s="7" t="s">
        <v>354</v>
      </c>
    </row>
    <row r="144">
      <c r="A144" s="7" t="s">
        <v>43</v>
      </c>
      <c r="B144" s="10">
        <v>9.0</v>
      </c>
      <c r="C144" s="10">
        <v>14.0</v>
      </c>
      <c r="D144" s="10">
        <v>10.0</v>
      </c>
      <c r="E144" s="10">
        <v>11.0</v>
      </c>
      <c r="F144" s="10">
        <v>6.0</v>
      </c>
      <c r="G144" s="10">
        <v>50.0</v>
      </c>
      <c r="H144" s="13"/>
    </row>
    <row r="145">
      <c r="A145" s="7" t="s">
        <v>357</v>
      </c>
      <c r="B145" s="10">
        <v>17.0</v>
      </c>
      <c r="C145" s="10">
        <v>16.0</v>
      </c>
      <c r="D145" s="10">
        <v>14.0</v>
      </c>
      <c r="E145" s="10">
        <v>11.0</v>
      </c>
      <c r="F145" s="10">
        <v>11.0</v>
      </c>
      <c r="G145" s="10">
        <v>69.0</v>
      </c>
      <c r="H145" s="13"/>
    </row>
    <row r="146">
      <c r="A146" s="7" t="s">
        <v>358</v>
      </c>
      <c r="B146" s="10">
        <v>14.0</v>
      </c>
      <c r="C146" s="10">
        <v>14.0</v>
      </c>
      <c r="D146" s="10">
        <v>13.0</v>
      </c>
      <c r="E146" s="10">
        <v>12.0</v>
      </c>
      <c r="F146" s="10">
        <v>13.0</v>
      </c>
      <c r="G146" s="10">
        <v>66.0</v>
      </c>
      <c r="H146" s="13"/>
    </row>
    <row r="147">
      <c r="A147" s="7" t="s">
        <v>359</v>
      </c>
      <c r="B147" s="10">
        <v>12.0</v>
      </c>
      <c r="C147" s="10">
        <v>11.0</v>
      </c>
      <c r="D147" s="10">
        <v>14.0</v>
      </c>
      <c r="E147" s="10">
        <v>11.0</v>
      </c>
      <c r="F147" s="10">
        <v>10.0</v>
      </c>
      <c r="G147" s="10">
        <v>58.0</v>
      </c>
      <c r="H147" s="13"/>
    </row>
    <row r="148">
      <c r="A148" s="7" t="s">
        <v>360</v>
      </c>
      <c r="B148" s="10">
        <v>13.0</v>
      </c>
      <c r="C148" s="10">
        <v>14.0</v>
      </c>
      <c r="D148" s="10">
        <v>11.0</v>
      </c>
      <c r="E148" s="10">
        <v>15.0</v>
      </c>
      <c r="F148" s="10">
        <v>10.0</v>
      </c>
      <c r="G148" s="10">
        <v>63.0</v>
      </c>
      <c r="H148" s="13"/>
    </row>
    <row r="149">
      <c r="A149" s="7" t="s">
        <v>361</v>
      </c>
      <c r="B149" s="10">
        <v>11.0</v>
      </c>
      <c r="C149" s="10">
        <v>6.0</v>
      </c>
      <c r="D149" s="10">
        <v>10.0</v>
      </c>
      <c r="E149" s="10">
        <v>9.0</v>
      </c>
      <c r="F149" s="10">
        <v>8.0</v>
      </c>
      <c r="G149" s="10">
        <v>44.0</v>
      </c>
      <c r="H149" s="13"/>
    </row>
    <row r="150">
      <c r="A150" s="7" t="s">
        <v>363</v>
      </c>
      <c r="B150" s="10">
        <v>12.0</v>
      </c>
      <c r="C150" s="10">
        <v>10.0</v>
      </c>
      <c r="D150" s="10">
        <v>9.0</v>
      </c>
      <c r="E150" s="10">
        <v>9.0</v>
      </c>
      <c r="F150" s="10">
        <v>14.0</v>
      </c>
      <c r="G150" s="10">
        <v>54.0</v>
      </c>
      <c r="H150" s="13"/>
    </row>
    <row r="151">
      <c r="A151" s="7" t="s">
        <v>364</v>
      </c>
      <c r="B151" s="10">
        <v>11.0</v>
      </c>
      <c r="C151" s="10">
        <v>9.0</v>
      </c>
      <c r="D151" s="10">
        <v>10.0</v>
      </c>
      <c r="E151" s="10">
        <v>9.0</v>
      </c>
      <c r="F151" s="10">
        <v>13.0</v>
      </c>
      <c r="G151" s="10">
        <v>52.0</v>
      </c>
      <c r="H151" s="13"/>
    </row>
    <row r="152">
      <c r="A152" s="7" t="s">
        <v>285</v>
      </c>
      <c r="B152" s="10">
        <v>10.0</v>
      </c>
      <c r="C152" s="10">
        <v>10.0</v>
      </c>
      <c r="D152" s="10">
        <v>10.0</v>
      </c>
      <c r="E152" s="10">
        <v>10.0</v>
      </c>
      <c r="F152" s="10">
        <v>8.0</v>
      </c>
      <c r="G152" s="10">
        <v>48.0</v>
      </c>
      <c r="H152" s="13"/>
    </row>
    <row r="153">
      <c r="A153" s="7" t="s">
        <v>367</v>
      </c>
      <c r="B153" s="10">
        <v>13.0</v>
      </c>
      <c r="C153" s="10">
        <v>12.0</v>
      </c>
      <c r="D153" s="10">
        <v>9.0</v>
      </c>
      <c r="E153" s="10">
        <v>10.0</v>
      </c>
      <c r="F153" s="10">
        <v>7.0</v>
      </c>
      <c r="G153" s="10">
        <v>51.0</v>
      </c>
      <c r="H153" s="13"/>
    </row>
    <row r="154">
      <c r="A154" s="7" t="s">
        <v>253</v>
      </c>
      <c r="B154" s="10">
        <v>9.0</v>
      </c>
      <c r="C154" s="10">
        <v>9.0</v>
      </c>
      <c r="D154" s="10">
        <v>13.0</v>
      </c>
      <c r="E154" s="10">
        <v>11.0</v>
      </c>
      <c r="F154" s="10">
        <v>8.0</v>
      </c>
      <c r="G154" s="10">
        <v>50.0</v>
      </c>
      <c r="H154" s="13"/>
    </row>
    <row r="155">
      <c r="A155" s="7" t="s">
        <v>116</v>
      </c>
      <c r="B155" s="10">
        <v>16.0</v>
      </c>
      <c r="C155" s="10">
        <v>11.0</v>
      </c>
      <c r="D155" s="10">
        <v>12.0</v>
      </c>
      <c r="E155" s="10">
        <v>12.0</v>
      </c>
      <c r="F155" s="10">
        <v>6.0</v>
      </c>
      <c r="G155" s="10">
        <v>57.0</v>
      </c>
      <c r="H155" s="13"/>
    </row>
    <row r="156">
      <c r="A156" s="7" t="s">
        <v>100</v>
      </c>
      <c r="B156" s="10">
        <v>13.0</v>
      </c>
      <c r="C156" s="10">
        <v>16.0</v>
      </c>
      <c r="D156" s="10">
        <v>12.0</v>
      </c>
      <c r="E156" s="10">
        <v>16.0</v>
      </c>
      <c r="F156" s="10">
        <v>9.0</v>
      </c>
      <c r="G156" s="10">
        <v>66.0</v>
      </c>
      <c r="H156" s="13"/>
    </row>
    <row r="157">
      <c r="A157" s="7" t="s">
        <v>77</v>
      </c>
      <c r="B157" s="10">
        <v>13.0</v>
      </c>
      <c r="C157" s="10">
        <v>16.0</v>
      </c>
      <c r="D157" s="10">
        <v>15.0</v>
      </c>
      <c r="E157" s="10">
        <v>16.0</v>
      </c>
      <c r="F157" s="10">
        <v>8.0</v>
      </c>
      <c r="G157" s="10">
        <v>68.0</v>
      </c>
      <c r="H157" s="13"/>
    </row>
    <row r="158">
      <c r="A158" s="7" t="s">
        <v>36</v>
      </c>
      <c r="B158" s="10">
        <v>11.0</v>
      </c>
      <c r="C158" s="10">
        <v>12.0</v>
      </c>
      <c r="D158" s="10">
        <v>13.0</v>
      </c>
      <c r="E158" s="10">
        <v>12.0</v>
      </c>
      <c r="F158" s="10">
        <v>3.0</v>
      </c>
      <c r="G158" s="10">
        <v>51.0</v>
      </c>
      <c r="H158" s="13"/>
    </row>
    <row r="159">
      <c r="A159" s="7" t="s">
        <v>41</v>
      </c>
      <c r="B159" s="10">
        <v>12.0</v>
      </c>
      <c r="C159" s="10">
        <v>10.0</v>
      </c>
      <c r="D159" s="10">
        <v>13.0</v>
      </c>
      <c r="E159" s="10">
        <v>12.0</v>
      </c>
      <c r="F159" s="10">
        <v>9.0</v>
      </c>
      <c r="G159" s="10">
        <v>56.0</v>
      </c>
      <c r="H159" s="13"/>
    </row>
    <row r="160">
      <c r="A160" s="7" t="s">
        <v>320</v>
      </c>
      <c r="B160" s="10">
        <v>13.0</v>
      </c>
      <c r="C160" s="10">
        <v>11.0</v>
      </c>
      <c r="D160" s="10">
        <v>13.0</v>
      </c>
      <c r="E160" s="10">
        <v>8.0</v>
      </c>
      <c r="F160" s="10">
        <v>3.0</v>
      </c>
      <c r="G160" s="10">
        <v>48.0</v>
      </c>
      <c r="H160" s="13"/>
    </row>
    <row r="161">
      <c r="A161" s="7" t="s">
        <v>78</v>
      </c>
      <c r="B161" s="10">
        <v>10.0</v>
      </c>
      <c r="C161" s="10">
        <v>8.0</v>
      </c>
      <c r="D161" s="10">
        <v>11.0</v>
      </c>
      <c r="E161" s="10">
        <v>10.0</v>
      </c>
      <c r="F161" s="10">
        <v>3.0</v>
      </c>
      <c r="G161" s="10">
        <v>42.0</v>
      </c>
      <c r="H161" s="13"/>
    </row>
    <row r="162">
      <c r="A162" s="7" t="s">
        <v>340</v>
      </c>
      <c r="B162" s="10">
        <v>10.0</v>
      </c>
      <c r="C162" s="10">
        <v>8.0</v>
      </c>
      <c r="D162" s="10">
        <v>12.0</v>
      </c>
      <c r="E162" s="10">
        <v>9.0</v>
      </c>
      <c r="F162" s="10">
        <v>3.0</v>
      </c>
      <c r="G162" s="10">
        <v>42.0</v>
      </c>
      <c r="H162" s="13"/>
    </row>
    <row r="163">
      <c r="A163" s="7" t="s">
        <v>371</v>
      </c>
      <c r="B163" s="10">
        <v>19.0</v>
      </c>
      <c r="C163" s="10">
        <v>0.0</v>
      </c>
      <c r="D163" s="10">
        <v>0.0</v>
      </c>
      <c r="E163" s="10">
        <v>0.0</v>
      </c>
      <c r="F163" s="10">
        <v>0.0</v>
      </c>
      <c r="G163" s="10">
        <v>19.0</v>
      </c>
      <c r="H163" s="7" t="s">
        <v>372</v>
      </c>
    </row>
    <row r="164">
      <c r="A164" s="7" t="s">
        <v>65</v>
      </c>
      <c r="B164" s="10">
        <v>15.0</v>
      </c>
      <c r="C164" s="10">
        <v>0.0</v>
      </c>
      <c r="D164" s="10">
        <v>0.0</v>
      </c>
      <c r="E164" s="10">
        <v>0.0</v>
      </c>
      <c r="F164" s="10">
        <v>0.0</v>
      </c>
      <c r="G164" s="10">
        <v>15.0</v>
      </c>
      <c r="H164" s="13"/>
    </row>
    <row r="165">
      <c r="A165" s="7" t="s">
        <v>373</v>
      </c>
      <c r="B165" s="10">
        <v>18.0</v>
      </c>
      <c r="C165" s="10">
        <v>0.0</v>
      </c>
      <c r="D165" s="10">
        <v>0.0</v>
      </c>
      <c r="E165" s="10">
        <v>0.0</v>
      </c>
      <c r="F165" s="10">
        <v>0.0</v>
      </c>
      <c r="G165" s="10">
        <v>18.0</v>
      </c>
      <c r="H165" s="13"/>
    </row>
    <row r="166">
      <c r="A166" s="7" t="s">
        <v>375</v>
      </c>
      <c r="B166" s="10">
        <v>20.0</v>
      </c>
      <c r="C166" s="10">
        <v>0.0</v>
      </c>
      <c r="D166" s="10">
        <v>0.0</v>
      </c>
      <c r="E166" s="10">
        <v>0.0</v>
      </c>
      <c r="F166" s="10">
        <v>0.0</v>
      </c>
      <c r="G166" s="10">
        <v>20.0</v>
      </c>
      <c r="H166" s="7" t="s">
        <v>376</v>
      </c>
    </row>
    <row r="167">
      <c r="A167" s="7" t="s">
        <v>306</v>
      </c>
      <c r="B167" s="10">
        <v>19.0</v>
      </c>
      <c r="C167" s="10">
        <v>0.0</v>
      </c>
      <c r="D167" s="10">
        <v>0.0</v>
      </c>
      <c r="E167" s="10">
        <v>0.0</v>
      </c>
      <c r="F167" s="10">
        <v>0.0</v>
      </c>
      <c r="G167" s="10">
        <v>19.0</v>
      </c>
      <c r="H167" s="13"/>
    </row>
    <row r="168">
      <c r="A168" s="7" t="s">
        <v>377</v>
      </c>
      <c r="B168" s="10">
        <v>19.0</v>
      </c>
      <c r="C168" s="10">
        <v>0.0</v>
      </c>
      <c r="D168" s="10">
        <v>0.0</v>
      </c>
      <c r="E168" s="10">
        <v>0.0</v>
      </c>
      <c r="F168" s="10">
        <v>0.0</v>
      </c>
      <c r="G168" s="10">
        <v>19.0</v>
      </c>
      <c r="H168" s="13"/>
    </row>
    <row r="169">
      <c r="A169" s="7" t="s">
        <v>378</v>
      </c>
      <c r="B169" s="10">
        <v>19.0</v>
      </c>
      <c r="C169" s="10">
        <v>0.0</v>
      </c>
      <c r="D169" s="10">
        <v>0.0</v>
      </c>
      <c r="E169" s="10">
        <v>0.0</v>
      </c>
      <c r="F169" s="10">
        <v>0.0</v>
      </c>
      <c r="G169" s="10">
        <v>19.0</v>
      </c>
      <c r="H169" s="13"/>
    </row>
    <row r="170">
      <c r="A170" s="7" t="s">
        <v>111</v>
      </c>
      <c r="B170" s="10">
        <v>18.0</v>
      </c>
      <c r="C170" s="10">
        <v>0.0</v>
      </c>
      <c r="D170" s="10">
        <v>0.0</v>
      </c>
      <c r="E170" s="10">
        <v>0.0</v>
      </c>
      <c r="F170" s="10">
        <v>0.0</v>
      </c>
      <c r="G170" s="10">
        <v>18.0</v>
      </c>
      <c r="H170" s="7" t="s">
        <v>379</v>
      </c>
    </row>
    <row r="171">
      <c r="A171" s="7" t="s">
        <v>380</v>
      </c>
      <c r="B171" s="10">
        <v>19.0</v>
      </c>
      <c r="C171" s="10">
        <v>0.0</v>
      </c>
      <c r="D171" s="10">
        <v>0.0</v>
      </c>
      <c r="E171" s="10">
        <v>0.0</v>
      </c>
      <c r="F171" s="10">
        <v>0.0</v>
      </c>
      <c r="G171" s="10">
        <v>19.0</v>
      </c>
      <c r="H171" s="7" t="s">
        <v>381</v>
      </c>
    </row>
    <row r="172">
      <c r="A172" s="7" t="s">
        <v>382</v>
      </c>
      <c r="B172" s="10">
        <v>18.0</v>
      </c>
      <c r="C172" s="10">
        <v>0.0</v>
      </c>
      <c r="D172" s="10">
        <v>0.0</v>
      </c>
      <c r="E172" s="10">
        <v>0.0</v>
      </c>
      <c r="F172" s="10">
        <v>0.0</v>
      </c>
      <c r="G172" s="10">
        <v>18.0</v>
      </c>
      <c r="H172" s="13"/>
    </row>
    <row r="173">
      <c r="A173" s="7" t="s">
        <v>383</v>
      </c>
      <c r="B173" s="10">
        <v>20.0</v>
      </c>
      <c r="C173" s="10">
        <v>0.0</v>
      </c>
      <c r="D173" s="10">
        <v>0.0</v>
      </c>
      <c r="E173" s="10">
        <v>0.0</v>
      </c>
      <c r="F173" s="10">
        <v>0.0</v>
      </c>
      <c r="G173" s="10">
        <v>20.0</v>
      </c>
      <c r="H173" s="7" t="s">
        <v>384</v>
      </c>
    </row>
    <row r="174">
      <c r="A174" s="7" t="s">
        <v>386</v>
      </c>
      <c r="B174" s="10">
        <v>18.0</v>
      </c>
      <c r="C174" s="10">
        <v>0.0</v>
      </c>
      <c r="D174" s="10">
        <v>0.0</v>
      </c>
      <c r="E174" s="10">
        <v>0.0</v>
      </c>
      <c r="F174" s="10">
        <v>0.0</v>
      </c>
      <c r="G174" s="10">
        <v>18.0</v>
      </c>
      <c r="H174" s="13"/>
    </row>
    <row r="175">
      <c r="A175" s="7" t="s">
        <v>388</v>
      </c>
      <c r="B175" s="10">
        <v>19.0</v>
      </c>
      <c r="C175" s="10">
        <v>0.0</v>
      </c>
      <c r="D175" s="10">
        <v>0.0</v>
      </c>
      <c r="E175" s="10">
        <v>0.0</v>
      </c>
      <c r="F175" s="10">
        <v>0.0</v>
      </c>
      <c r="G175" s="10">
        <v>19.0</v>
      </c>
      <c r="H175" s="7" t="s">
        <v>389</v>
      </c>
    </row>
    <row r="176">
      <c r="A176" s="7" t="s">
        <v>380</v>
      </c>
      <c r="B176" s="10">
        <v>19.0</v>
      </c>
      <c r="C176" s="10">
        <v>0.0</v>
      </c>
      <c r="D176" s="10">
        <v>0.0</v>
      </c>
      <c r="E176" s="10">
        <v>0.0</v>
      </c>
      <c r="F176" s="10">
        <v>0.0</v>
      </c>
      <c r="G176" s="10">
        <v>19.0</v>
      </c>
      <c r="H176" s="7" t="s">
        <v>390</v>
      </c>
    </row>
    <row r="177">
      <c r="A177" s="7" t="s">
        <v>391</v>
      </c>
      <c r="B177" s="10">
        <v>17.0</v>
      </c>
      <c r="C177" s="10">
        <v>0.0</v>
      </c>
      <c r="D177" s="10">
        <v>0.0</v>
      </c>
      <c r="E177" s="10">
        <v>0.0</v>
      </c>
      <c r="F177" s="10">
        <v>0.0</v>
      </c>
      <c r="G177" s="10">
        <v>17.0</v>
      </c>
      <c r="H177" s="13"/>
    </row>
    <row r="178">
      <c r="A178" s="7" t="s">
        <v>310</v>
      </c>
      <c r="B178" s="10">
        <v>20.0</v>
      </c>
      <c r="C178" s="10">
        <v>0.0</v>
      </c>
      <c r="D178" s="10">
        <v>0.0</v>
      </c>
      <c r="E178" s="10">
        <v>0.0</v>
      </c>
      <c r="F178" s="10">
        <v>0.0</v>
      </c>
      <c r="G178" s="10">
        <v>20.0</v>
      </c>
      <c r="H178" s="7" t="s">
        <v>392</v>
      </c>
    </row>
    <row r="179">
      <c r="A179" s="7" t="s">
        <v>393</v>
      </c>
      <c r="B179" s="10">
        <v>15.0</v>
      </c>
      <c r="C179" s="10">
        <v>0.0</v>
      </c>
      <c r="D179" s="10">
        <v>0.0</v>
      </c>
      <c r="E179" s="10">
        <v>0.0</v>
      </c>
      <c r="F179" s="10">
        <v>0.0</v>
      </c>
      <c r="G179" s="10">
        <v>15.0</v>
      </c>
      <c r="H179" s="13"/>
    </row>
    <row r="180">
      <c r="A180" s="7" t="s">
        <v>394</v>
      </c>
      <c r="B180" s="10">
        <v>14.0</v>
      </c>
      <c r="C180" s="10">
        <v>0.0</v>
      </c>
      <c r="D180" s="10">
        <v>0.0</v>
      </c>
      <c r="E180" s="10">
        <v>0.0</v>
      </c>
      <c r="F180" s="10">
        <v>0.0</v>
      </c>
      <c r="G180" s="10">
        <v>14.0</v>
      </c>
      <c r="H180" s="13"/>
    </row>
    <row r="181">
      <c r="A181" s="7" t="s">
        <v>395</v>
      </c>
      <c r="B181" s="10">
        <v>13.0</v>
      </c>
      <c r="C181" s="10">
        <v>0.0</v>
      </c>
      <c r="D181" s="10">
        <v>0.0</v>
      </c>
      <c r="E181" s="10">
        <v>0.0</v>
      </c>
      <c r="F181" s="10">
        <v>0.0</v>
      </c>
      <c r="G181" s="10">
        <v>13.0</v>
      </c>
      <c r="H181" s="13"/>
    </row>
    <row r="182">
      <c r="A182" s="7" t="s">
        <v>397</v>
      </c>
      <c r="B182" s="10">
        <v>17.0</v>
      </c>
      <c r="C182" s="10">
        <v>0.0</v>
      </c>
      <c r="D182" s="10">
        <v>0.0</v>
      </c>
      <c r="E182" s="10">
        <v>0.0</v>
      </c>
      <c r="F182" s="10">
        <v>0.0</v>
      </c>
      <c r="G182" s="10">
        <v>17.0</v>
      </c>
      <c r="H182" s="13"/>
    </row>
    <row r="183">
      <c r="A183" s="7" t="s">
        <v>321</v>
      </c>
      <c r="B183" s="10">
        <v>15.0</v>
      </c>
      <c r="C183" s="10">
        <v>0.0</v>
      </c>
      <c r="D183" s="10">
        <v>0.0</v>
      </c>
      <c r="E183" s="10">
        <v>0.0</v>
      </c>
      <c r="F183" s="10">
        <v>0.0</v>
      </c>
      <c r="G183" s="10">
        <v>15.0</v>
      </c>
      <c r="H183" s="13"/>
    </row>
    <row r="184">
      <c r="A184" s="7" t="s">
        <v>398</v>
      </c>
      <c r="B184" s="10">
        <v>13.0</v>
      </c>
      <c r="C184" s="10">
        <v>0.0</v>
      </c>
      <c r="D184" s="10">
        <v>0.0</v>
      </c>
      <c r="E184" s="10">
        <v>0.0</v>
      </c>
      <c r="F184" s="10">
        <v>0.0</v>
      </c>
      <c r="G184" s="10">
        <v>13.0</v>
      </c>
      <c r="H184" s="13"/>
    </row>
    <row r="185">
      <c r="A185" s="7" t="s">
        <v>399</v>
      </c>
      <c r="B185" s="10">
        <v>12.0</v>
      </c>
      <c r="C185" s="10">
        <v>0.0</v>
      </c>
      <c r="D185" s="10">
        <v>0.0</v>
      </c>
      <c r="E185" s="10">
        <v>0.0</v>
      </c>
      <c r="F185" s="10">
        <v>0.0</v>
      </c>
      <c r="G185" s="10">
        <v>12.0</v>
      </c>
      <c r="H185" s="13"/>
    </row>
    <row r="186">
      <c r="A186" s="7" t="s">
        <v>400</v>
      </c>
      <c r="B186" s="10">
        <v>10.0</v>
      </c>
      <c r="C186" s="10">
        <v>10.0</v>
      </c>
      <c r="D186" s="10">
        <v>8.0</v>
      </c>
      <c r="E186" s="10">
        <v>9.0</v>
      </c>
      <c r="F186" s="10">
        <v>16.0</v>
      </c>
      <c r="G186" s="10">
        <v>53.0</v>
      </c>
      <c r="H186" s="13"/>
    </row>
    <row r="187">
      <c r="A187" s="7" t="s">
        <v>61</v>
      </c>
      <c r="B187" s="10">
        <v>9.0</v>
      </c>
      <c r="C187" s="10">
        <v>8.0</v>
      </c>
      <c r="D187" s="10">
        <v>8.0</v>
      </c>
      <c r="E187" s="10">
        <v>9.0</v>
      </c>
      <c r="F187" s="10">
        <v>5.0</v>
      </c>
      <c r="G187" s="10">
        <v>39.0</v>
      </c>
      <c r="H187" s="7" t="s">
        <v>401</v>
      </c>
    </row>
    <row r="188">
      <c r="A188" s="7" t="s">
        <v>96</v>
      </c>
      <c r="B188" s="10">
        <v>14.0</v>
      </c>
      <c r="C188" s="10">
        <v>12.0</v>
      </c>
      <c r="D188" s="10">
        <v>11.0</v>
      </c>
      <c r="E188" s="10">
        <v>11.0</v>
      </c>
      <c r="F188" s="10">
        <v>5.0</v>
      </c>
      <c r="G188" s="10">
        <v>53.0</v>
      </c>
      <c r="H188" s="7" t="s">
        <v>402</v>
      </c>
    </row>
    <row r="189">
      <c r="A189" s="7" t="s">
        <v>70</v>
      </c>
      <c r="B189" s="10">
        <v>12.0</v>
      </c>
      <c r="C189" s="10">
        <v>10.0</v>
      </c>
      <c r="D189" s="10">
        <v>9.0</v>
      </c>
      <c r="E189" s="10">
        <v>9.0</v>
      </c>
      <c r="F189" s="10">
        <v>5.0</v>
      </c>
      <c r="G189" s="10">
        <v>45.0</v>
      </c>
      <c r="H189" s="7" t="s">
        <v>403</v>
      </c>
    </row>
    <row r="190">
      <c r="A190" s="7" t="s">
        <v>86</v>
      </c>
      <c r="B190" s="10">
        <v>11.0</v>
      </c>
      <c r="C190" s="10">
        <v>11.0</v>
      </c>
      <c r="D190" s="10">
        <v>13.0</v>
      </c>
      <c r="E190" s="10">
        <v>9.0</v>
      </c>
      <c r="F190" s="10">
        <v>6.0</v>
      </c>
      <c r="G190" s="10">
        <v>50.0</v>
      </c>
      <c r="H190" s="7" t="s">
        <v>404</v>
      </c>
    </row>
    <row r="191">
      <c r="A191" s="7" t="s">
        <v>98</v>
      </c>
      <c r="B191" s="10">
        <v>9.0</v>
      </c>
      <c r="C191" s="10">
        <v>10.0</v>
      </c>
      <c r="D191" s="10">
        <v>10.0</v>
      </c>
      <c r="E191" s="10">
        <v>11.0</v>
      </c>
      <c r="F191" s="10">
        <v>6.0</v>
      </c>
      <c r="G191" s="10">
        <v>46.0</v>
      </c>
      <c r="H191" s="7" t="s">
        <v>405</v>
      </c>
    </row>
    <row r="192">
      <c r="A192" s="7" t="s">
        <v>36</v>
      </c>
      <c r="B192" s="10">
        <v>10.0</v>
      </c>
      <c r="C192" s="10">
        <v>11.0</v>
      </c>
      <c r="D192" s="10">
        <v>7.0</v>
      </c>
      <c r="E192" s="10">
        <v>12.0</v>
      </c>
      <c r="F192" s="10">
        <v>5.0</v>
      </c>
      <c r="G192" s="10">
        <v>45.0</v>
      </c>
      <c r="H192" s="7" t="s">
        <v>407</v>
      </c>
    </row>
    <row r="193">
      <c r="A193" s="7" t="s">
        <v>103</v>
      </c>
      <c r="B193" s="10">
        <v>10.0</v>
      </c>
      <c r="C193" s="10">
        <v>10.0</v>
      </c>
      <c r="D193" s="10">
        <v>8.0</v>
      </c>
      <c r="E193" s="10">
        <v>9.0</v>
      </c>
      <c r="F193" s="10">
        <v>5.0</v>
      </c>
      <c r="G193" s="10">
        <v>42.0</v>
      </c>
      <c r="H193" s="7" t="s">
        <v>408</v>
      </c>
    </row>
    <row r="194">
      <c r="A194" s="7" t="s">
        <v>91</v>
      </c>
      <c r="B194" s="10">
        <v>7.0</v>
      </c>
      <c r="C194" s="10">
        <v>9.0</v>
      </c>
      <c r="D194" s="10">
        <v>8.0</v>
      </c>
      <c r="E194" s="10">
        <v>9.0</v>
      </c>
      <c r="F194" s="10">
        <v>5.0</v>
      </c>
      <c r="G194" s="10">
        <v>38.0</v>
      </c>
      <c r="H194" s="7" t="s">
        <v>409</v>
      </c>
    </row>
    <row r="195">
      <c r="A195" s="7" t="s">
        <v>410</v>
      </c>
      <c r="B195" s="10">
        <v>16.0</v>
      </c>
      <c r="C195" s="10">
        <v>16.0</v>
      </c>
      <c r="D195" s="10">
        <v>16.0</v>
      </c>
      <c r="E195" s="10">
        <v>16.0</v>
      </c>
      <c r="F195" s="10">
        <v>16.0</v>
      </c>
      <c r="G195" s="10">
        <v>80.0</v>
      </c>
      <c r="H195" s="13"/>
    </row>
    <row r="196">
      <c r="A196" s="7" t="s">
        <v>81</v>
      </c>
      <c r="B196" s="10">
        <v>14.0</v>
      </c>
      <c r="C196" s="10">
        <v>12.0</v>
      </c>
      <c r="D196" s="10">
        <v>13.0</v>
      </c>
      <c r="E196" s="10">
        <v>12.0</v>
      </c>
      <c r="F196" s="10">
        <v>12.0</v>
      </c>
      <c r="G196" s="10">
        <v>63.0</v>
      </c>
      <c r="H196" s="13"/>
    </row>
    <row r="197">
      <c r="A197" s="7" t="s">
        <v>246</v>
      </c>
      <c r="B197" s="10">
        <v>11.0</v>
      </c>
      <c r="C197" s="10">
        <v>12.0</v>
      </c>
      <c r="D197" s="10">
        <v>12.0</v>
      </c>
      <c r="E197" s="10">
        <v>13.0</v>
      </c>
      <c r="F197" s="10">
        <v>10.0</v>
      </c>
      <c r="G197" s="10">
        <v>58.0</v>
      </c>
      <c r="H197" s="13"/>
    </row>
    <row r="198">
      <c r="A198" s="7" t="s">
        <v>48</v>
      </c>
      <c r="B198" s="10">
        <v>11.0</v>
      </c>
      <c r="C198" s="10">
        <v>9.0</v>
      </c>
      <c r="D198" s="10">
        <v>12.0</v>
      </c>
      <c r="E198" s="10">
        <v>12.0</v>
      </c>
      <c r="F198" s="10">
        <v>7.0</v>
      </c>
      <c r="G198" s="10">
        <v>51.0</v>
      </c>
      <c r="H198" s="13"/>
    </row>
    <row r="199">
      <c r="A199" s="7" t="s">
        <v>228</v>
      </c>
      <c r="B199" s="10">
        <v>14.0</v>
      </c>
      <c r="C199" s="10">
        <v>12.0</v>
      </c>
      <c r="D199" s="10">
        <v>12.0</v>
      </c>
      <c r="E199" s="10">
        <v>11.0</v>
      </c>
      <c r="F199" s="10">
        <v>3.0</v>
      </c>
      <c r="G199" s="10">
        <v>52.0</v>
      </c>
      <c r="H199" s="13"/>
    </row>
    <row r="200">
      <c r="A200" s="7" t="s">
        <v>144</v>
      </c>
      <c r="B200" s="10">
        <v>7.0</v>
      </c>
      <c r="C200" s="10">
        <v>8.0</v>
      </c>
      <c r="D200" s="10">
        <v>11.0</v>
      </c>
      <c r="E200" s="10">
        <v>11.0</v>
      </c>
      <c r="F200" s="10">
        <v>3.0</v>
      </c>
      <c r="G200" s="10">
        <v>40.0</v>
      </c>
      <c r="H200" s="13"/>
    </row>
    <row r="201">
      <c r="A201" s="7" t="s">
        <v>234</v>
      </c>
      <c r="B201" s="10">
        <v>4.0</v>
      </c>
      <c r="C201" s="10">
        <v>10.0</v>
      </c>
      <c r="D201" s="10">
        <v>12.0</v>
      </c>
      <c r="E201" s="10">
        <v>9.0</v>
      </c>
      <c r="F201" s="10">
        <v>3.0</v>
      </c>
      <c r="G201" s="10">
        <v>38.0</v>
      </c>
      <c r="H201" s="13"/>
    </row>
    <row r="202">
      <c r="A202" s="7" t="s">
        <v>412</v>
      </c>
      <c r="B202" s="10">
        <v>12.0</v>
      </c>
      <c r="C202" s="10">
        <v>16.0</v>
      </c>
      <c r="D202" s="10">
        <v>13.0</v>
      </c>
      <c r="E202" s="10">
        <v>10.0</v>
      </c>
      <c r="F202" s="10">
        <v>8.0</v>
      </c>
      <c r="G202" s="10">
        <v>59.0</v>
      </c>
      <c r="H202" s="13"/>
    </row>
    <row r="203">
      <c r="A203" s="7" t="s">
        <v>245</v>
      </c>
      <c r="B203" s="10">
        <v>9.0</v>
      </c>
      <c r="C203" s="10">
        <v>9.0</v>
      </c>
      <c r="D203" s="10">
        <v>8.0</v>
      </c>
      <c r="E203" s="10">
        <v>7.0</v>
      </c>
      <c r="F203" s="10">
        <v>7.0</v>
      </c>
      <c r="G203" s="10">
        <v>40.0</v>
      </c>
      <c r="H203" s="13"/>
    </row>
    <row r="204">
      <c r="A204" s="7" t="s">
        <v>413</v>
      </c>
      <c r="B204" s="10">
        <v>13.0</v>
      </c>
      <c r="C204" s="10">
        <v>16.0</v>
      </c>
      <c r="D204" s="10">
        <v>13.0</v>
      </c>
      <c r="E204" s="10">
        <v>12.0</v>
      </c>
      <c r="F204" s="10">
        <v>11.0</v>
      </c>
      <c r="G204" s="10">
        <v>65.0</v>
      </c>
      <c r="H204" s="13"/>
    </row>
    <row r="205">
      <c r="A205" s="7" t="s">
        <v>310</v>
      </c>
      <c r="B205" s="10">
        <v>19.0</v>
      </c>
      <c r="C205" s="10">
        <v>0.0</v>
      </c>
      <c r="D205" s="10">
        <v>0.0</v>
      </c>
      <c r="E205" s="10">
        <v>0.0</v>
      </c>
      <c r="F205" s="10">
        <v>0.0</v>
      </c>
      <c r="G205" s="10">
        <v>19.0</v>
      </c>
      <c r="H205" s="7" t="s">
        <v>414</v>
      </c>
    </row>
    <row r="206">
      <c r="A206" s="7" t="s">
        <v>391</v>
      </c>
      <c r="B206" s="10">
        <v>17.0</v>
      </c>
      <c r="C206" s="10">
        <v>0.0</v>
      </c>
      <c r="D206" s="10">
        <v>0.0</v>
      </c>
      <c r="E206" s="10">
        <v>0.0</v>
      </c>
      <c r="F206" s="10">
        <v>0.0</v>
      </c>
      <c r="G206" s="10">
        <v>17.0</v>
      </c>
      <c r="H206" s="7" t="s">
        <v>415</v>
      </c>
    </row>
    <row r="207">
      <c r="A207" s="7" t="s">
        <v>321</v>
      </c>
      <c r="B207" s="10">
        <v>14.0</v>
      </c>
      <c r="C207" s="10">
        <v>0.0</v>
      </c>
      <c r="D207" s="10">
        <v>0.0</v>
      </c>
      <c r="E207" s="10">
        <v>0.0</v>
      </c>
      <c r="F207" s="10">
        <v>0.0</v>
      </c>
      <c r="G207" s="10">
        <v>14.0</v>
      </c>
      <c r="H207" s="13"/>
    </row>
    <row r="208">
      <c r="A208" s="7" t="s">
        <v>416</v>
      </c>
      <c r="B208" s="10">
        <v>13.0</v>
      </c>
      <c r="C208" s="10">
        <v>0.0</v>
      </c>
      <c r="D208" s="10">
        <v>0.0</v>
      </c>
      <c r="E208" s="10">
        <v>0.0</v>
      </c>
      <c r="F208" s="10">
        <v>0.0</v>
      </c>
      <c r="G208" s="10">
        <v>13.0</v>
      </c>
      <c r="H208" s="13"/>
    </row>
    <row r="209">
      <c r="A209" s="7" t="s">
        <v>417</v>
      </c>
      <c r="B209" s="10">
        <v>18.0</v>
      </c>
      <c r="C209" s="10">
        <v>0.0</v>
      </c>
      <c r="D209" s="10">
        <v>0.0</v>
      </c>
      <c r="E209" s="10">
        <v>0.0</v>
      </c>
      <c r="F209" s="10">
        <v>0.0</v>
      </c>
      <c r="G209" s="10">
        <v>18.0</v>
      </c>
      <c r="H209" s="7" t="s">
        <v>419</v>
      </c>
    </row>
    <row r="210">
      <c r="A210" s="7" t="s">
        <v>393</v>
      </c>
      <c r="B210" s="10">
        <v>14.0</v>
      </c>
      <c r="C210" s="10">
        <v>0.0</v>
      </c>
      <c r="D210" s="10">
        <v>0.0</v>
      </c>
      <c r="E210" s="10">
        <v>0.0</v>
      </c>
      <c r="F210" s="10">
        <v>0.0</v>
      </c>
      <c r="G210" s="10">
        <v>14.0</v>
      </c>
      <c r="H210" s="13"/>
    </row>
    <row r="211">
      <c r="A211" s="7" t="s">
        <v>397</v>
      </c>
      <c r="B211" s="10">
        <v>18.0</v>
      </c>
      <c r="C211" s="10">
        <v>0.0</v>
      </c>
      <c r="D211" s="10">
        <v>0.0</v>
      </c>
      <c r="E211" s="10">
        <v>0.0</v>
      </c>
      <c r="F211" s="10">
        <v>0.0</v>
      </c>
      <c r="G211" s="10">
        <v>18.0</v>
      </c>
      <c r="H211" s="7" t="s">
        <v>421</v>
      </c>
    </row>
    <row r="212">
      <c r="A212" s="7" t="s">
        <v>422</v>
      </c>
      <c r="B212" s="10">
        <v>12.0</v>
      </c>
      <c r="C212" s="10">
        <v>0.0</v>
      </c>
      <c r="D212" s="10">
        <v>0.0</v>
      </c>
      <c r="E212" s="10">
        <v>0.0</v>
      </c>
      <c r="F212" s="10">
        <v>0.0</v>
      </c>
      <c r="G212" s="10">
        <v>12.0</v>
      </c>
      <c r="H212" s="7" t="s">
        <v>423</v>
      </c>
    </row>
    <row r="213">
      <c r="A213" s="7" t="s">
        <v>395</v>
      </c>
      <c r="B213" s="10">
        <v>13.0</v>
      </c>
      <c r="C213" s="10">
        <v>0.0</v>
      </c>
      <c r="D213" s="10">
        <v>0.0</v>
      </c>
      <c r="E213" s="10">
        <v>0.0</v>
      </c>
      <c r="F213" s="10">
        <v>0.0</v>
      </c>
      <c r="G213" s="10">
        <v>13.0</v>
      </c>
      <c r="H213" s="13"/>
    </row>
    <row r="214">
      <c r="A214" s="7" t="s">
        <v>398</v>
      </c>
      <c r="B214" s="10">
        <v>16.0</v>
      </c>
      <c r="C214" s="10">
        <v>0.0</v>
      </c>
      <c r="D214" s="10">
        <v>0.0</v>
      </c>
      <c r="E214" s="10">
        <v>0.0</v>
      </c>
      <c r="F214" s="10">
        <v>0.0</v>
      </c>
      <c r="G214" s="10">
        <v>16.0</v>
      </c>
      <c r="H214" s="7" t="s">
        <v>424</v>
      </c>
    </row>
    <row r="215">
      <c r="A215" s="7" t="s">
        <v>425</v>
      </c>
      <c r="B215" s="10">
        <v>12.0</v>
      </c>
      <c r="C215" s="10">
        <v>0.0</v>
      </c>
      <c r="D215" s="10">
        <v>0.0</v>
      </c>
      <c r="E215" s="10">
        <v>0.0</v>
      </c>
      <c r="F215" s="10">
        <v>0.0</v>
      </c>
      <c r="G215" s="10">
        <v>12.0</v>
      </c>
      <c r="H215" s="7" t="s">
        <v>423</v>
      </c>
    </row>
    <row r="216">
      <c r="A216" s="7" t="s">
        <v>99</v>
      </c>
      <c r="B216" s="10">
        <v>9.0</v>
      </c>
      <c r="C216" s="10">
        <v>15.0</v>
      </c>
      <c r="D216" s="10">
        <v>13.0</v>
      </c>
      <c r="E216" s="10">
        <v>13.0</v>
      </c>
      <c r="F216" s="10">
        <v>13.0</v>
      </c>
      <c r="G216" s="10">
        <v>63.0</v>
      </c>
      <c r="H216" s="13"/>
    </row>
    <row r="217">
      <c r="A217" s="7" t="s">
        <v>426</v>
      </c>
      <c r="B217" s="10">
        <v>13.0</v>
      </c>
      <c r="C217" s="10">
        <v>16.0</v>
      </c>
      <c r="D217" s="10">
        <v>10.0</v>
      </c>
      <c r="E217" s="10">
        <v>13.0</v>
      </c>
      <c r="F217" s="10">
        <v>11.0</v>
      </c>
      <c r="G217" s="10">
        <v>63.0</v>
      </c>
      <c r="H217" s="7" t="s">
        <v>427</v>
      </c>
    </row>
    <row r="218">
      <c r="A218" s="7" t="s">
        <v>201</v>
      </c>
      <c r="B218" s="10">
        <v>13.0</v>
      </c>
      <c r="C218" s="10">
        <v>11.0</v>
      </c>
      <c r="D218" s="10">
        <v>12.0</v>
      </c>
      <c r="E218" s="10">
        <v>12.0</v>
      </c>
      <c r="F218" s="10">
        <v>10.0</v>
      </c>
      <c r="G218" s="10">
        <v>58.0</v>
      </c>
      <c r="H218" s="13"/>
    </row>
    <row r="219">
      <c r="A219" s="7" t="s">
        <v>206</v>
      </c>
      <c r="B219" s="10">
        <v>10.0</v>
      </c>
      <c r="C219" s="10">
        <v>8.0</v>
      </c>
      <c r="D219" s="10">
        <v>11.0</v>
      </c>
      <c r="E219" s="10">
        <v>11.0</v>
      </c>
      <c r="F219" s="10">
        <v>10.0</v>
      </c>
      <c r="G219" s="10">
        <v>50.0</v>
      </c>
      <c r="H219" s="13"/>
    </row>
    <row r="220">
      <c r="A220" s="7" t="s">
        <v>210</v>
      </c>
      <c r="B220" s="10">
        <v>4.0</v>
      </c>
      <c r="C220" s="10">
        <v>4.0</v>
      </c>
      <c r="D220" s="10">
        <v>4.0</v>
      </c>
      <c r="E220" s="10">
        <v>4.0</v>
      </c>
      <c r="F220" s="10">
        <v>3.0</v>
      </c>
      <c r="G220" s="10">
        <v>19.0</v>
      </c>
      <c r="H220" s="13"/>
    </row>
    <row r="221">
      <c r="A221" s="7" t="s">
        <v>205</v>
      </c>
      <c r="B221" s="10">
        <v>14.0</v>
      </c>
      <c r="C221" s="10">
        <v>8.0</v>
      </c>
      <c r="D221" s="10">
        <v>11.0</v>
      </c>
      <c r="E221" s="10">
        <v>12.0</v>
      </c>
      <c r="F221" s="10">
        <v>8.0</v>
      </c>
      <c r="G221" s="10">
        <v>53.0</v>
      </c>
      <c r="H221" s="13"/>
    </row>
    <row r="222">
      <c r="A222" s="7" t="s">
        <v>429</v>
      </c>
      <c r="B222" s="10">
        <v>16.0</v>
      </c>
      <c r="C222" s="10">
        <v>19.0</v>
      </c>
      <c r="D222" s="10">
        <v>12.0</v>
      </c>
      <c r="E222" s="10">
        <v>14.0</v>
      </c>
      <c r="F222" s="10">
        <v>15.0</v>
      </c>
      <c r="G222" s="10">
        <v>76.0</v>
      </c>
      <c r="H222" s="13"/>
    </row>
    <row r="223">
      <c r="A223" s="7" t="s">
        <v>377</v>
      </c>
      <c r="B223" s="10">
        <v>13.0</v>
      </c>
      <c r="C223" s="10">
        <v>0.0</v>
      </c>
      <c r="D223" s="10">
        <v>0.0</v>
      </c>
      <c r="E223" s="10">
        <v>0.0</v>
      </c>
      <c r="F223" s="10">
        <v>0.0</v>
      </c>
      <c r="G223" s="10">
        <v>13.0</v>
      </c>
      <c r="H223" s="13"/>
    </row>
    <row r="224">
      <c r="A224" s="7" t="s">
        <v>430</v>
      </c>
      <c r="B224" s="10">
        <v>19.0</v>
      </c>
      <c r="C224" s="10">
        <v>0.0</v>
      </c>
      <c r="D224" s="10">
        <v>0.0</v>
      </c>
      <c r="E224" s="10">
        <v>0.0</v>
      </c>
      <c r="F224" s="10">
        <v>0.0</v>
      </c>
      <c r="G224" s="10">
        <v>19.0</v>
      </c>
      <c r="H224" s="7" t="s">
        <v>431</v>
      </c>
    </row>
    <row r="225">
      <c r="A225" s="7" t="s">
        <v>386</v>
      </c>
      <c r="B225" s="10">
        <v>15.0</v>
      </c>
      <c r="C225" s="10">
        <v>0.0</v>
      </c>
      <c r="D225" s="10">
        <v>0.0</v>
      </c>
      <c r="E225" s="10">
        <v>0.0</v>
      </c>
      <c r="F225" s="10">
        <v>0.0</v>
      </c>
      <c r="G225" s="10">
        <v>15.0</v>
      </c>
      <c r="H225" s="13"/>
    </row>
    <row r="226">
      <c r="A226" s="7" t="s">
        <v>111</v>
      </c>
      <c r="B226" s="10">
        <v>12.0</v>
      </c>
      <c r="C226" s="10">
        <v>0.0</v>
      </c>
      <c r="D226" s="10">
        <v>0.0</v>
      </c>
      <c r="E226" s="10">
        <v>0.0</v>
      </c>
      <c r="F226" s="10">
        <v>0.0</v>
      </c>
      <c r="G226" s="10">
        <v>12.0</v>
      </c>
      <c r="H226" s="13"/>
    </row>
    <row r="227">
      <c r="A227" s="7" t="s">
        <v>306</v>
      </c>
      <c r="B227" s="10">
        <v>15.0</v>
      </c>
      <c r="C227" s="10">
        <v>0.0</v>
      </c>
      <c r="D227" s="10">
        <v>0.0</v>
      </c>
      <c r="E227" s="10">
        <v>0.0</v>
      </c>
      <c r="F227" s="10">
        <v>0.0</v>
      </c>
      <c r="G227" s="10">
        <v>15.0</v>
      </c>
      <c r="H227" s="7" t="s">
        <v>433</v>
      </c>
    </row>
    <row r="228">
      <c r="A228" s="7" t="s">
        <v>382</v>
      </c>
      <c r="B228" s="10">
        <v>17.0</v>
      </c>
      <c r="C228" s="10">
        <v>0.0</v>
      </c>
      <c r="D228" s="10">
        <v>0.0</v>
      </c>
      <c r="E228" s="10">
        <v>0.0</v>
      </c>
      <c r="F228" s="10">
        <v>0.0</v>
      </c>
      <c r="G228" s="10">
        <v>17.0</v>
      </c>
      <c r="H228" s="7" t="s">
        <v>434</v>
      </c>
    </row>
    <row r="229">
      <c r="A229" s="7" t="s">
        <v>375</v>
      </c>
      <c r="B229" s="10">
        <v>16.0</v>
      </c>
      <c r="C229" s="10">
        <v>0.0</v>
      </c>
      <c r="D229" s="10">
        <v>0.0</v>
      </c>
      <c r="E229" s="10">
        <v>0.0</v>
      </c>
      <c r="F229" s="10">
        <v>0.0</v>
      </c>
      <c r="G229" s="10">
        <v>16.0</v>
      </c>
      <c r="H229" s="7" t="s">
        <v>435</v>
      </c>
    </row>
    <row r="230">
      <c r="A230" s="7" t="s">
        <v>378</v>
      </c>
      <c r="B230" s="10">
        <v>14.0</v>
      </c>
      <c r="C230" s="10">
        <v>0.0</v>
      </c>
      <c r="D230" s="10">
        <v>0.0</v>
      </c>
      <c r="E230" s="10">
        <v>0.0</v>
      </c>
      <c r="F230" s="10">
        <v>0.0</v>
      </c>
      <c r="G230" s="10">
        <v>14.0</v>
      </c>
      <c r="H230" s="13"/>
    </row>
    <row r="231">
      <c r="A231" s="7" t="s">
        <v>373</v>
      </c>
      <c r="B231" s="10">
        <v>12.0</v>
      </c>
      <c r="C231" s="10">
        <v>0.0</v>
      </c>
      <c r="D231" s="10">
        <v>0.0</v>
      </c>
      <c r="E231" s="10">
        <v>0.0</v>
      </c>
      <c r="F231" s="10">
        <v>0.0</v>
      </c>
      <c r="G231" s="10">
        <v>12.0</v>
      </c>
      <c r="H231" s="7" t="s">
        <v>436</v>
      </c>
    </row>
    <row r="232">
      <c r="A232" s="7" t="s">
        <v>65</v>
      </c>
      <c r="B232" s="10">
        <v>15.0</v>
      </c>
      <c r="C232" s="10">
        <v>0.0</v>
      </c>
      <c r="D232" s="10">
        <v>0.0</v>
      </c>
      <c r="E232" s="10">
        <v>0.0</v>
      </c>
      <c r="F232" s="10">
        <v>0.0</v>
      </c>
      <c r="G232" s="10">
        <v>15.0</v>
      </c>
      <c r="H232" s="13"/>
    </row>
    <row r="233">
      <c r="A233" s="7" t="s">
        <v>437</v>
      </c>
      <c r="B233" s="10">
        <v>3.0</v>
      </c>
      <c r="C233" s="10">
        <v>0.0</v>
      </c>
      <c r="D233" s="10">
        <v>0.0</v>
      </c>
      <c r="E233" s="10">
        <v>0.0</v>
      </c>
      <c r="F233" s="10">
        <v>0.0</v>
      </c>
      <c r="G233" s="10">
        <v>3.0</v>
      </c>
      <c r="H233" s="7" t="s">
        <v>438</v>
      </c>
    </row>
    <row r="234">
      <c r="A234" s="7" t="s">
        <v>439</v>
      </c>
      <c r="B234" s="10">
        <v>0.0</v>
      </c>
      <c r="C234" s="10">
        <v>0.0</v>
      </c>
      <c r="D234" s="10">
        <v>0.0</v>
      </c>
      <c r="E234" s="10">
        <v>0.0</v>
      </c>
      <c r="F234" s="10">
        <v>0.0</v>
      </c>
      <c r="G234" s="10">
        <v>0.0</v>
      </c>
      <c r="H234" s="7" t="s">
        <v>440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31.5"/>
    <col customWidth="1" min="3" max="3" width="27.75"/>
    <col customWidth="1" min="12" max="12" width="38.63"/>
  </cols>
  <sheetData>
    <row r="1">
      <c r="A1" s="1" t="s">
        <v>0</v>
      </c>
      <c r="B1" s="1" t="s">
        <v>2</v>
      </c>
      <c r="C1" s="1" t="s">
        <v>3</v>
      </c>
      <c r="D1" s="1" t="s">
        <v>4</v>
      </c>
      <c r="E1" s="1" t="s">
        <v>6</v>
      </c>
      <c r="F1" s="1" t="s">
        <v>7</v>
      </c>
      <c r="G1" s="1" t="s">
        <v>9</v>
      </c>
      <c r="H1" s="1" t="s">
        <v>11</v>
      </c>
      <c r="I1" s="1" t="s">
        <v>13</v>
      </c>
      <c r="J1" s="1" t="s">
        <v>8</v>
      </c>
      <c r="K1" s="1" t="s">
        <v>15</v>
      </c>
      <c r="L1" s="3" t="s">
        <v>16</v>
      </c>
      <c r="M1" s="5"/>
      <c r="N1" s="5"/>
      <c r="O1" s="5"/>
      <c r="P1" s="5"/>
      <c r="Q1" s="5"/>
      <c r="R1" s="5"/>
      <c r="S1" s="5"/>
      <c r="T1" s="5"/>
      <c r="U1" s="5"/>
      <c r="V1" s="5"/>
      <c r="W1" s="5"/>
      <c r="X1" s="5"/>
      <c r="Y1" s="5"/>
    </row>
    <row r="2" ht="40.5" customHeight="1">
      <c r="A2" s="9">
        <v>45930.457151724535</v>
      </c>
      <c r="B2" s="11" t="s">
        <v>34</v>
      </c>
      <c r="C2" s="11" t="s">
        <v>36</v>
      </c>
      <c r="D2" s="12">
        <v>13.2</v>
      </c>
      <c r="E2" s="12">
        <v>12.0</v>
      </c>
      <c r="F2" s="12">
        <v>27.200000000000003</v>
      </c>
      <c r="G2" s="12">
        <v>14.399999999999999</v>
      </c>
      <c r="H2" s="12">
        <v>8.0</v>
      </c>
      <c r="I2" s="12">
        <v>74.80000000000001</v>
      </c>
      <c r="J2" s="11" t="s">
        <v>38</v>
      </c>
      <c r="K2" s="11" t="s">
        <v>39</v>
      </c>
      <c r="L2" s="14" t="s">
        <v>40</v>
      </c>
    </row>
    <row r="3" ht="30.0" customHeight="1">
      <c r="A3" s="9">
        <v>45930.465373541665</v>
      </c>
      <c r="B3" s="11" t="s">
        <v>34</v>
      </c>
      <c r="C3" s="11" t="s">
        <v>41</v>
      </c>
      <c r="D3" s="12">
        <v>12.0</v>
      </c>
      <c r="E3" s="12">
        <v>12.0</v>
      </c>
      <c r="F3" s="12">
        <v>25.6</v>
      </c>
      <c r="G3" s="12">
        <v>18.8</v>
      </c>
      <c r="H3" s="12">
        <v>12.0</v>
      </c>
      <c r="I3" s="12">
        <v>80.4</v>
      </c>
      <c r="J3" s="11" t="s">
        <v>38</v>
      </c>
      <c r="K3" s="11" t="s">
        <v>39</v>
      </c>
      <c r="L3" s="14" t="s">
        <v>46</v>
      </c>
    </row>
    <row r="4" ht="29.25" customHeight="1">
      <c r="A4" s="9">
        <v>45930.47545143518</v>
      </c>
      <c r="B4" s="11" t="s">
        <v>34</v>
      </c>
      <c r="C4" s="11" t="s">
        <v>48</v>
      </c>
      <c r="D4" s="12">
        <v>12.0</v>
      </c>
      <c r="E4" s="12">
        <v>15.0</v>
      </c>
      <c r="F4" s="12">
        <v>35.0</v>
      </c>
      <c r="G4" s="12">
        <v>20.0</v>
      </c>
      <c r="H4" s="12">
        <v>15.0</v>
      </c>
      <c r="I4" s="12">
        <v>97.0</v>
      </c>
      <c r="J4" s="11" t="s">
        <v>51</v>
      </c>
      <c r="K4" s="11" t="s">
        <v>39</v>
      </c>
      <c r="L4" s="14" t="s">
        <v>54</v>
      </c>
    </row>
    <row r="5" ht="33.0" customHeight="1">
      <c r="A5" s="9">
        <v>45930.48164760417</v>
      </c>
      <c r="B5" s="11" t="s">
        <v>34</v>
      </c>
      <c r="C5" s="11" t="s">
        <v>55</v>
      </c>
      <c r="D5" s="12">
        <v>11.200000000000001</v>
      </c>
      <c r="E5" s="12">
        <v>9.0</v>
      </c>
      <c r="F5" s="12">
        <v>19.8</v>
      </c>
      <c r="G5" s="12">
        <v>16.0</v>
      </c>
      <c r="H5" s="12">
        <v>9.0</v>
      </c>
      <c r="I5" s="12">
        <v>65.0</v>
      </c>
      <c r="J5" s="11" t="s">
        <v>60</v>
      </c>
      <c r="K5" s="11" t="s">
        <v>62</v>
      </c>
      <c r="L5" s="14" t="s">
        <v>63</v>
      </c>
    </row>
    <row r="6">
      <c r="A6" s="9">
        <v>45930.49772559028</v>
      </c>
      <c r="B6" s="11" t="s">
        <v>34</v>
      </c>
      <c r="C6" s="11" t="s">
        <v>65</v>
      </c>
      <c r="D6" s="12">
        <v>15.0</v>
      </c>
      <c r="E6" s="12">
        <v>12.0</v>
      </c>
      <c r="F6" s="12">
        <v>33.4</v>
      </c>
      <c r="G6" s="12">
        <v>20.0</v>
      </c>
      <c r="H6" s="12">
        <v>12.0</v>
      </c>
      <c r="I6" s="12">
        <v>92.4</v>
      </c>
      <c r="J6" s="11" t="s">
        <v>53</v>
      </c>
      <c r="K6" s="11" t="s">
        <v>39</v>
      </c>
      <c r="L6" s="14" t="s">
        <v>68</v>
      </c>
    </row>
    <row r="7">
      <c r="A7" s="9">
        <v>45930.49778622686</v>
      </c>
      <c r="B7" s="11" t="s">
        <v>34</v>
      </c>
      <c r="C7" s="11" t="s">
        <v>65</v>
      </c>
      <c r="D7" s="12">
        <v>15.0</v>
      </c>
      <c r="E7" s="12">
        <v>12.0</v>
      </c>
      <c r="F7" s="12">
        <v>33.4</v>
      </c>
      <c r="G7" s="12">
        <v>20.0</v>
      </c>
      <c r="H7" s="12">
        <v>12.0</v>
      </c>
      <c r="I7" s="12">
        <v>92.4</v>
      </c>
      <c r="J7" s="11" t="s">
        <v>53</v>
      </c>
      <c r="K7" s="11" t="s">
        <v>39</v>
      </c>
      <c r="L7" s="14" t="s">
        <v>68</v>
      </c>
    </row>
    <row r="8">
      <c r="A8" s="9">
        <v>45930.50989916667</v>
      </c>
      <c r="B8" s="11" t="s">
        <v>34</v>
      </c>
      <c r="C8" s="11" t="s">
        <v>73</v>
      </c>
      <c r="D8" s="12">
        <v>13.0</v>
      </c>
      <c r="E8" s="12">
        <v>12.0</v>
      </c>
      <c r="F8" s="12">
        <v>23.6</v>
      </c>
      <c r="G8" s="12">
        <v>16.0</v>
      </c>
      <c r="H8" s="12">
        <v>9.0</v>
      </c>
      <c r="I8" s="12">
        <v>73.6</v>
      </c>
      <c r="J8" s="11" t="s">
        <v>38</v>
      </c>
      <c r="K8" s="11" t="s">
        <v>39</v>
      </c>
      <c r="L8" s="14" t="s">
        <v>76</v>
      </c>
    </row>
    <row r="9">
      <c r="A9" s="9">
        <v>45930.51119148148</v>
      </c>
      <c r="B9" s="11" t="s">
        <v>34</v>
      </c>
      <c r="C9" s="11" t="s">
        <v>78</v>
      </c>
      <c r="D9" s="12">
        <v>7.199999999999999</v>
      </c>
      <c r="E9" s="12">
        <v>9.0</v>
      </c>
      <c r="F9" s="12">
        <v>14.0</v>
      </c>
      <c r="G9" s="12">
        <v>12.4</v>
      </c>
      <c r="H9" s="12">
        <v>6.0</v>
      </c>
      <c r="I9" s="12">
        <v>48.6</v>
      </c>
      <c r="J9" s="11" t="s">
        <v>38</v>
      </c>
      <c r="K9" s="11" t="s">
        <v>39</v>
      </c>
      <c r="L9" s="14" t="s">
        <v>80</v>
      </c>
    </row>
    <row r="10">
      <c r="A10" s="9">
        <v>45930.519089270834</v>
      </c>
      <c r="B10" s="11" t="s">
        <v>34</v>
      </c>
      <c r="C10" s="11" t="s">
        <v>81</v>
      </c>
      <c r="D10" s="12">
        <v>12.0</v>
      </c>
      <c r="E10" s="12">
        <v>12.0</v>
      </c>
      <c r="F10" s="12">
        <v>33.4</v>
      </c>
      <c r="G10" s="12">
        <v>20.0</v>
      </c>
      <c r="H10" s="12">
        <v>12.0</v>
      </c>
      <c r="I10" s="12">
        <v>89.4</v>
      </c>
      <c r="J10" s="11" t="s">
        <v>38</v>
      </c>
      <c r="K10" s="11" t="s">
        <v>39</v>
      </c>
      <c r="L10" s="14" t="s">
        <v>83</v>
      </c>
    </row>
    <row r="11">
      <c r="A11" s="9">
        <v>45930.525638217594</v>
      </c>
      <c r="B11" s="11" t="s">
        <v>34</v>
      </c>
      <c r="C11" s="11" t="s">
        <v>86</v>
      </c>
      <c r="D11" s="12">
        <v>15.0</v>
      </c>
      <c r="E11" s="12">
        <v>12.0</v>
      </c>
      <c r="F11" s="12">
        <v>35.0</v>
      </c>
      <c r="G11" s="12">
        <v>20.0</v>
      </c>
      <c r="H11" s="12">
        <v>14.0</v>
      </c>
      <c r="I11" s="12">
        <v>96.0</v>
      </c>
      <c r="J11" s="11" t="s">
        <v>88</v>
      </c>
      <c r="K11" s="11" t="s">
        <v>39</v>
      </c>
      <c r="L11" s="14" t="s">
        <v>89</v>
      </c>
    </row>
    <row r="12">
      <c r="A12" s="9">
        <v>45930.530097372684</v>
      </c>
      <c r="B12" s="11" t="s">
        <v>34</v>
      </c>
      <c r="C12" s="11" t="s">
        <v>91</v>
      </c>
      <c r="D12" s="12">
        <v>10.8</v>
      </c>
      <c r="E12" s="12">
        <v>9.0</v>
      </c>
      <c r="F12" s="12">
        <v>19.4</v>
      </c>
      <c r="G12" s="12">
        <v>13.6</v>
      </c>
      <c r="H12" s="12">
        <v>7.199999999999999</v>
      </c>
      <c r="I12" s="12">
        <v>60.0</v>
      </c>
      <c r="J12" s="11" t="s">
        <v>88</v>
      </c>
      <c r="K12" s="11" t="s">
        <v>39</v>
      </c>
      <c r="L12" s="14" t="s">
        <v>94</v>
      </c>
    </row>
    <row r="13">
      <c r="A13" s="9">
        <v>45930.535481597224</v>
      </c>
      <c r="B13" s="11" t="s">
        <v>34</v>
      </c>
      <c r="C13" s="11" t="s">
        <v>85</v>
      </c>
      <c r="D13" s="12">
        <v>15.0</v>
      </c>
      <c r="E13" s="12">
        <v>15.0</v>
      </c>
      <c r="F13" s="12">
        <v>35.0</v>
      </c>
      <c r="G13" s="12">
        <v>20.0</v>
      </c>
      <c r="H13" s="12">
        <v>10.0</v>
      </c>
      <c r="I13" s="12">
        <v>95.0</v>
      </c>
      <c r="J13" s="11" t="s">
        <v>38</v>
      </c>
      <c r="K13" s="11" t="s">
        <v>39</v>
      </c>
      <c r="L13" s="14" t="s">
        <v>97</v>
      </c>
    </row>
    <row r="14">
      <c r="A14" s="9">
        <v>45930.54095086806</v>
      </c>
      <c r="B14" s="11" t="s">
        <v>34</v>
      </c>
      <c r="C14" s="11" t="s">
        <v>98</v>
      </c>
      <c r="D14" s="12">
        <v>12.0</v>
      </c>
      <c r="E14" s="12">
        <v>12.0</v>
      </c>
      <c r="F14" s="12">
        <v>14.0</v>
      </c>
      <c r="G14" s="12">
        <v>16.0</v>
      </c>
      <c r="H14" s="12">
        <v>6.0</v>
      </c>
      <c r="I14" s="12">
        <v>60.0</v>
      </c>
      <c r="J14" s="11" t="s">
        <v>88</v>
      </c>
      <c r="K14" s="11" t="s">
        <v>39</v>
      </c>
      <c r="L14" s="14" t="s">
        <v>101</v>
      </c>
    </row>
    <row r="15">
      <c r="A15" s="9">
        <v>45930.54825849537</v>
      </c>
      <c r="B15" s="11" t="s">
        <v>34</v>
      </c>
      <c r="C15" s="11" t="s">
        <v>103</v>
      </c>
      <c r="D15" s="12">
        <v>9.8</v>
      </c>
      <c r="E15" s="12">
        <v>9.0</v>
      </c>
      <c r="F15" s="12">
        <v>19.4</v>
      </c>
      <c r="G15" s="12">
        <v>13.6</v>
      </c>
      <c r="H15" s="12">
        <v>9.0</v>
      </c>
      <c r="I15" s="12">
        <v>60.800000000000004</v>
      </c>
      <c r="J15" s="11" t="s">
        <v>88</v>
      </c>
      <c r="K15" s="11" t="s">
        <v>39</v>
      </c>
      <c r="L15" s="14" t="s">
        <v>105</v>
      </c>
    </row>
    <row r="16">
      <c r="A16" s="9">
        <v>45930.60073965278</v>
      </c>
      <c r="B16" s="11" t="s">
        <v>34</v>
      </c>
      <c r="C16" s="11" t="s">
        <v>107</v>
      </c>
      <c r="D16" s="12">
        <v>15.0</v>
      </c>
      <c r="E16" s="12">
        <v>12.0</v>
      </c>
      <c r="F16" s="12">
        <v>23.400000000000002</v>
      </c>
      <c r="G16" s="12">
        <v>16.0</v>
      </c>
      <c r="H16" s="12">
        <v>12.0</v>
      </c>
      <c r="I16" s="12">
        <v>78.4</v>
      </c>
      <c r="J16" s="11" t="s">
        <v>38</v>
      </c>
      <c r="K16" s="11" t="s">
        <v>39</v>
      </c>
      <c r="L16" s="14" t="s">
        <v>109</v>
      </c>
    </row>
    <row r="17">
      <c r="A17" s="9">
        <v>45930.60080526621</v>
      </c>
      <c r="B17" s="11" t="s">
        <v>34</v>
      </c>
      <c r="C17" s="11" t="s">
        <v>107</v>
      </c>
      <c r="D17" s="12">
        <v>15.0</v>
      </c>
      <c r="E17" s="12">
        <v>12.0</v>
      </c>
      <c r="F17" s="12">
        <v>23.400000000000002</v>
      </c>
      <c r="G17" s="12">
        <v>16.0</v>
      </c>
      <c r="H17" s="12">
        <v>12.0</v>
      </c>
      <c r="I17" s="12">
        <v>78.4</v>
      </c>
      <c r="J17" s="11" t="s">
        <v>38</v>
      </c>
      <c r="K17" s="11" t="s">
        <v>39</v>
      </c>
      <c r="L17" s="14" t="s">
        <v>109</v>
      </c>
    </row>
    <row r="18">
      <c r="A18" s="9">
        <v>45930.60475452546</v>
      </c>
      <c r="B18" s="11" t="s">
        <v>34</v>
      </c>
      <c r="C18" s="11" t="s">
        <v>111</v>
      </c>
      <c r="D18" s="12">
        <v>15.0</v>
      </c>
      <c r="E18" s="12">
        <v>12.0</v>
      </c>
      <c r="F18" s="12">
        <v>28.0</v>
      </c>
      <c r="G18" s="12">
        <v>20.0</v>
      </c>
      <c r="H18" s="12">
        <v>14.0</v>
      </c>
      <c r="I18" s="12">
        <v>89.0</v>
      </c>
      <c r="J18" s="11" t="s">
        <v>53</v>
      </c>
      <c r="K18" s="11" t="s">
        <v>39</v>
      </c>
      <c r="L18" s="14" t="s">
        <v>113</v>
      </c>
    </row>
    <row r="19">
      <c r="A19" s="9">
        <v>45930.6106241088</v>
      </c>
      <c r="B19" s="11" t="s">
        <v>34</v>
      </c>
      <c r="C19" s="11" t="s">
        <v>61</v>
      </c>
      <c r="D19" s="12">
        <v>12.0</v>
      </c>
      <c r="E19" s="12">
        <v>3.0</v>
      </c>
      <c r="F19" s="12">
        <v>11.2</v>
      </c>
      <c r="G19" s="12">
        <v>12.0</v>
      </c>
      <c r="H19" s="12">
        <v>6.0</v>
      </c>
      <c r="I19" s="12">
        <v>44.2</v>
      </c>
      <c r="J19" s="11" t="s">
        <v>38</v>
      </c>
      <c r="K19" s="11" t="s">
        <v>39</v>
      </c>
      <c r="L19" s="14" t="s">
        <v>117</v>
      </c>
    </row>
    <row r="20">
      <c r="A20" s="9">
        <v>45930.61474399306</v>
      </c>
      <c r="B20" s="11" t="s">
        <v>34</v>
      </c>
      <c r="C20" s="11" t="s">
        <v>96</v>
      </c>
      <c r="D20" s="12">
        <v>12.0</v>
      </c>
      <c r="E20" s="12">
        <v>10.600000000000001</v>
      </c>
      <c r="F20" s="12">
        <v>32.4</v>
      </c>
      <c r="G20" s="12">
        <v>20.0</v>
      </c>
      <c r="H20" s="12">
        <v>15.0</v>
      </c>
      <c r="I20" s="12">
        <v>90.0</v>
      </c>
      <c r="J20" s="11" t="s">
        <v>38</v>
      </c>
      <c r="K20" s="11" t="s">
        <v>39</v>
      </c>
      <c r="L20" s="17"/>
    </row>
    <row r="21">
      <c r="A21" s="9">
        <v>45930.620678900465</v>
      </c>
      <c r="B21" s="11" t="s">
        <v>34</v>
      </c>
      <c r="C21" s="11" t="s">
        <v>122</v>
      </c>
      <c r="D21" s="12">
        <v>12.0</v>
      </c>
      <c r="E21" s="12">
        <v>10.600000000000001</v>
      </c>
      <c r="F21" s="12">
        <v>28.0</v>
      </c>
      <c r="G21" s="12">
        <v>20.0</v>
      </c>
      <c r="H21" s="12">
        <v>12.0</v>
      </c>
      <c r="I21" s="12">
        <v>82.6</v>
      </c>
      <c r="J21" s="11" t="s">
        <v>53</v>
      </c>
      <c r="K21" s="11" t="s">
        <v>39</v>
      </c>
      <c r="L21" s="17"/>
    </row>
    <row r="22">
      <c r="A22" s="9">
        <v>45930.62705730324</v>
      </c>
      <c r="B22" s="11" t="s">
        <v>34</v>
      </c>
      <c r="C22" s="11" t="s">
        <v>124</v>
      </c>
      <c r="D22" s="12">
        <v>15.0</v>
      </c>
      <c r="E22" s="12">
        <v>12.0</v>
      </c>
      <c r="F22" s="12">
        <v>33.4</v>
      </c>
      <c r="G22" s="12">
        <v>20.0</v>
      </c>
      <c r="H22" s="12">
        <v>15.0</v>
      </c>
      <c r="I22" s="12">
        <v>95.4</v>
      </c>
      <c r="J22" s="11" t="s">
        <v>53</v>
      </c>
      <c r="K22" s="11" t="s">
        <v>39</v>
      </c>
      <c r="L22" s="17"/>
    </row>
    <row r="23">
      <c r="A23" s="9">
        <v>45930.511814074074</v>
      </c>
      <c r="B23" s="11" t="s">
        <v>127</v>
      </c>
      <c r="C23" s="11" t="s">
        <v>43</v>
      </c>
      <c r="D23" s="12">
        <v>8.8</v>
      </c>
      <c r="E23" s="12">
        <v>12.0</v>
      </c>
      <c r="F23" s="12">
        <v>24.200000000000003</v>
      </c>
      <c r="G23" s="12">
        <v>12.0</v>
      </c>
      <c r="H23" s="12">
        <v>7.199999999999999</v>
      </c>
      <c r="I23" s="12">
        <v>64.2</v>
      </c>
      <c r="J23" s="11" t="s">
        <v>53</v>
      </c>
      <c r="K23" s="11" t="s">
        <v>59</v>
      </c>
      <c r="L23" s="14" t="s">
        <v>131</v>
      </c>
    </row>
    <row r="24">
      <c r="A24" s="9">
        <v>45930.539337766204</v>
      </c>
      <c r="B24" s="11" t="s">
        <v>127</v>
      </c>
      <c r="C24" s="11" t="s">
        <v>133</v>
      </c>
      <c r="D24" s="12">
        <v>14.0</v>
      </c>
      <c r="E24" s="12">
        <v>15.0</v>
      </c>
      <c r="F24" s="12">
        <v>29.2</v>
      </c>
      <c r="G24" s="12">
        <v>17.2</v>
      </c>
      <c r="H24" s="12">
        <v>14.0</v>
      </c>
      <c r="I24" s="12">
        <v>89.4</v>
      </c>
      <c r="J24" s="11" t="s">
        <v>38</v>
      </c>
      <c r="K24" s="11" t="s">
        <v>59</v>
      </c>
      <c r="L24" s="14" t="s">
        <v>135</v>
      </c>
    </row>
    <row r="25">
      <c r="A25" s="9">
        <v>45930.56186960648</v>
      </c>
      <c r="B25" s="11" t="s">
        <v>127</v>
      </c>
      <c r="C25" s="11" t="s">
        <v>136</v>
      </c>
      <c r="D25" s="12">
        <v>14.0</v>
      </c>
      <c r="E25" s="12">
        <v>15.0</v>
      </c>
      <c r="F25" s="12">
        <v>30.8</v>
      </c>
      <c r="G25" s="12">
        <v>12.0</v>
      </c>
      <c r="H25" s="12">
        <v>12.0</v>
      </c>
      <c r="I25" s="12">
        <v>83.8</v>
      </c>
      <c r="J25" s="11" t="s">
        <v>38</v>
      </c>
      <c r="K25" s="11" t="s">
        <v>59</v>
      </c>
      <c r="L25" s="14" t="s">
        <v>138</v>
      </c>
    </row>
    <row r="26">
      <c r="A26" s="9">
        <v>45930.61382252315</v>
      </c>
      <c r="B26" s="11" t="s">
        <v>127</v>
      </c>
      <c r="C26" s="11" t="s">
        <v>140</v>
      </c>
      <c r="D26" s="12">
        <v>14.2</v>
      </c>
      <c r="E26" s="12">
        <v>15.0</v>
      </c>
      <c r="F26" s="12">
        <v>26.8</v>
      </c>
      <c r="G26" s="12">
        <v>12.0</v>
      </c>
      <c r="H26" s="12">
        <v>9.0</v>
      </c>
      <c r="I26" s="12">
        <v>77.0</v>
      </c>
      <c r="J26" s="11" t="s">
        <v>38</v>
      </c>
      <c r="K26" s="11" t="s">
        <v>59</v>
      </c>
      <c r="L26" s="14" t="s">
        <v>142</v>
      </c>
    </row>
    <row r="27">
      <c r="A27" s="9">
        <v>45930.632855578704</v>
      </c>
      <c r="B27" s="11" t="s">
        <v>127</v>
      </c>
      <c r="C27" s="11" t="s">
        <v>144</v>
      </c>
      <c r="D27" s="12">
        <v>4.2</v>
      </c>
      <c r="E27" s="12">
        <v>3.0</v>
      </c>
      <c r="F27" s="12">
        <v>7.0</v>
      </c>
      <c r="G27" s="12">
        <v>4.0</v>
      </c>
      <c r="H27" s="12">
        <v>3.0</v>
      </c>
      <c r="I27" s="12">
        <v>21.2</v>
      </c>
      <c r="J27" s="11" t="s">
        <v>53</v>
      </c>
      <c r="K27" s="11" t="s">
        <v>59</v>
      </c>
      <c r="L27" s="14" t="s">
        <v>146</v>
      </c>
    </row>
    <row r="28">
      <c r="A28" s="9">
        <v>45930.48132290509</v>
      </c>
      <c r="B28" s="11" t="s">
        <v>147</v>
      </c>
      <c r="C28" s="11" t="s">
        <v>148</v>
      </c>
      <c r="D28" s="12">
        <v>6.0</v>
      </c>
      <c r="E28" s="12">
        <v>6.0</v>
      </c>
      <c r="F28" s="12">
        <v>12.799999999999999</v>
      </c>
      <c r="G28" s="12">
        <v>6.800000000000001</v>
      </c>
      <c r="H28" s="12">
        <v>5.0</v>
      </c>
      <c r="I28" s="12">
        <v>36.599999999999994</v>
      </c>
      <c r="J28" s="11" t="s">
        <v>38</v>
      </c>
      <c r="K28" s="11" t="s">
        <v>52</v>
      </c>
      <c r="L28" s="14" t="s">
        <v>152</v>
      </c>
    </row>
    <row r="29">
      <c r="A29" s="9">
        <v>45930.49367403935</v>
      </c>
      <c r="B29" s="11" t="s">
        <v>147</v>
      </c>
      <c r="C29" s="11" t="s">
        <v>110</v>
      </c>
      <c r="D29" s="12">
        <v>7.800000000000001</v>
      </c>
      <c r="E29" s="12">
        <v>7.4</v>
      </c>
      <c r="F29" s="12">
        <v>10.2</v>
      </c>
      <c r="G29" s="12">
        <v>9.2</v>
      </c>
      <c r="H29" s="12">
        <v>5.2</v>
      </c>
      <c r="I29" s="12">
        <v>39.8</v>
      </c>
      <c r="J29" s="11" t="s">
        <v>53</v>
      </c>
      <c r="K29" s="11" t="s">
        <v>52</v>
      </c>
      <c r="L29" s="14" t="s">
        <v>156</v>
      </c>
    </row>
    <row r="30">
      <c r="A30" s="9">
        <v>45930.505417858796</v>
      </c>
      <c r="B30" s="11" t="s">
        <v>147</v>
      </c>
      <c r="C30" s="11" t="s">
        <v>159</v>
      </c>
      <c r="D30" s="12">
        <v>8.0</v>
      </c>
      <c r="E30" s="12">
        <v>9.0</v>
      </c>
      <c r="F30" s="12">
        <v>21.000000000000004</v>
      </c>
      <c r="G30" s="12">
        <v>12.0</v>
      </c>
      <c r="H30" s="12">
        <v>10.2</v>
      </c>
      <c r="I30" s="12">
        <v>60.2</v>
      </c>
      <c r="J30" s="11" t="s">
        <v>38</v>
      </c>
      <c r="K30" s="11" t="s">
        <v>52</v>
      </c>
      <c r="L30" s="14" t="s">
        <v>161</v>
      </c>
    </row>
    <row r="31">
      <c r="A31" s="9">
        <v>45930.51788408565</v>
      </c>
      <c r="B31" s="11" t="s">
        <v>147</v>
      </c>
      <c r="C31" s="11" t="s">
        <v>145</v>
      </c>
      <c r="D31" s="12">
        <v>9.0</v>
      </c>
      <c r="E31" s="12">
        <v>10.399999999999999</v>
      </c>
      <c r="F31" s="12">
        <v>20.2</v>
      </c>
      <c r="G31" s="12">
        <v>12.0</v>
      </c>
      <c r="H31" s="12">
        <v>6.0</v>
      </c>
      <c r="I31" s="12">
        <v>57.599999999999994</v>
      </c>
      <c r="J31" s="11" t="s">
        <v>51</v>
      </c>
      <c r="K31" s="11" t="s">
        <v>52</v>
      </c>
      <c r="L31" s="14" t="s">
        <v>164</v>
      </c>
    </row>
    <row r="32">
      <c r="A32" s="9">
        <v>45930.53337417824</v>
      </c>
      <c r="B32" s="11" t="s">
        <v>147</v>
      </c>
      <c r="C32" s="11" t="s">
        <v>57</v>
      </c>
      <c r="D32" s="12">
        <v>9.0</v>
      </c>
      <c r="E32" s="12">
        <v>10.399999999999999</v>
      </c>
      <c r="F32" s="12">
        <v>23.800000000000004</v>
      </c>
      <c r="G32" s="12">
        <v>12.0</v>
      </c>
      <c r="H32" s="12">
        <v>10.0</v>
      </c>
      <c r="I32" s="12">
        <v>65.2</v>
      </c>
      <c r="J32" s="11" t="s">
        <v>51</v>
      </c>
      <c r="K32" s="11" t="s">
        <v>52</v>
      </c>
      <c r="L32" s="14" t="s">
        <v>171</v>
      </c>
    </row>
    <row r="33">
      <c r="A33" s="9">
        <v>45930.542894583334</v>
      </c>
      <c r="B33" s="11" t="s">
        <v>147</v>
      </c>
      <c r="C33" s="11" t="s">
        <v>82</v>
      </c>
      <c r="D33" s="12">
        <v>7.800000000000001</v>
      </c>
      <c r="E33" s="12">
        <v>9.0</v>
      </c>
      <c r="F33" s="12">
        <v>19.599999999999998</v>
      </c>
      <c r="G33" s="12">
        <v>12.0</v>
      </c>
      <c r="H33" s="12">
        <v>8.2</v>
      </c>
      <c r="I33" s="12">
        <v>56.599999999999994</v>
      </c>
      <c r="J33" s="11" t="s">
        <v>51</v>
      </c>
      <c r="K33" s="11" t="s">
        <v>52</v>
      </c>
      <c r="L33" s="14" t="s">
        <v>176</v>
      </c>
    </row>
    <row r="34">
      <c r="A34" s="9">
        <v>45930.551152141205</v>
      </c>
      <c r="B34" s="11" t="s">
        <v>147</v>
      </c>
      <c r="C34" s="11" t="s">
        <v>177</v>
      </c>
      <c r="D34" s="12">
        <v>9.0</v>
      </c>
      <c r="E34" s="12">
        <v>9.0</v>
      </c>
      <c r="F34" s="12">
        <v>14.0</v>
      </c>
      <c r="G34" s="12">
        <v>8.0</v>
      </c>
      <c r="H34" s="12">
        <v>6.0</v>
      </c>
      <c r="I34" s="12">
        <v>46.0</v>
      </c>
      <c r="J34" s="11" t="s">
        <v>53</v>
      </c>
      <c r="K34" s="11" t="s">
        <v>52</v>
      </c>
      <c r="L34" s="14" t="s">
        <v>180</v>
      </c>
    </row>
    <row r="35">
      <c r="A35" s="9">
        <v>45930.61391891204</v>
      </c>
      <c r="B35" s="11" t="s">
        <v>147</v>
      </c>
      <c r="C35" s="11" t="s">
        <v>100</v>
      </c>
      <c r="D35" s="12">
        <v>10.2</v>
      </c>
      <c r="E35" s="12">
        <v>9.2</v>
      </c>
      <c r="F35" s="12">
        <v>19.599999999999998</v>
      </c>
      <c r="G35" s="12">
        <v>9.200000000000001</v>
      </c>
      <c r="H35" s="12">
        <v>7.0</v>
      </c>
      <c r="I35" s="12">
        <v>55.2</v>
      </c>
      <c r="J35" s="11" t="s">
        <v>38</v>
      </c>
      <c r="K35" s="11" t="s">
        <v>52</v>
      </c>
      <c r="L35" s="14" t="s">
        <v>185</v>
      </c>
    </row>
    <row r="36">
      <c r="A36" s="9">
        <v>45930.62490454861</v>
      </c>
      <c r="B36" s="11" t="s">
        <v>147</v>
      </c>
      <c r="C36" s="11" t="s">
        <v>90</v>
      </c>
      <c r="D36" s="12">
        <v>9.0</v>
      </c>
      <c r="E36" s="12">
        <v>10.600000000000001</v>
      </c>
      <c r="F36" s="12">
        <v>19.599999999999998</v>
      </c>
      <c r="G36" s="12">
        <v>9.200000000000001</v>
      </c>
      <c r="H36" s="12">
        <v>8.0</v>
      </c>
      <c r="I36" s="12">
        <v>56.400000000000006</v>
      </c>
      <c r="J36" s="11" t="s">
        <v>38</v>
      </c>
      <c r="K36" s="11" t="s">
        <v>52</v>
      </c>
      <c r="L36" s="14" t="s">
        <v>187</v>
      </c>
    </row>
    <row r="37">
      <c r="A37" s="9">
        <v>45930.63185893519</v>
      </c>
      <c r="B37" s="11" t="s">
        <v>147</v>
      </c>
      <c r="C37" s="11" t="s">
        <v>87</v>
      </c>
      <c r="D37" s="12">
        <v>11.200000000000001</v>
      </c>
      <c r="E37" s="12">
        <v>12.0</v>
      </c>
      <c r="F37" s="12">
        <v>23.400000000000002</v>
      </c>
      <c r="G37" s="12">
        <v>6.4</v>
      </c>
      <c r="H37" s="12">
        <v>9.2</v>
      </c>
      <c r="I37" s="12">
        <v>62.2</v>
      </c>
      <c r="J37" s="11" t="s">
        <v>38</v>
      </c>
      <c r="K37" s="11" t="s">
        <v>52</v>
      </c>
      <c r="L37" s="14" t="s">
        <v>189</v>
      </c>
    </row>
    <row r="38" ht="30.75" customHeight="1">
      <c r="A38" s="9">
        <v>45930.64077371528</v>
      </c>
      <c r="B38" s="11" t="s">
        <v>147</v>
      </c>
      <c r="C38" s="11" t="s">
        <v>126</v>
      </c>
      <c r="D38" s="12">
        <v>12.0</v>
      </c>
      <c r="E38" s="12">
        <v>13.4</v>
      </c>
      <c r="F38" s="12">
        <v>30.8</v>
      </c>
      <c r="G38" s="12">
        <v>16.0</v>
      </c>
      <c r="H38" s="12">
        <v>12.0</v>
      </c>
      <c r="I38" s="12">
        <v>84.2</v>
      </c>
      <c r="J38" s="11" t="s">
        <v>38</v>
      </c>
      <c r="K38" s="11" t="s">
        <v>52</v>
      </c>
      <c r="L38" s="14" t="s">
        <v>192</v>
      </c>
    </row>
    <row r="39">
      <c r="A39" s="9">
        <v>45930.458209687495</v>
      </c>
      <c r="B39" s="11" t="s">
        <v>193</v>
      </c>
      <c r="C39" s="11" t="s">
        <v>195</v>
      </c>
      <c r="D39" s="12">
        <v>12.0</v>
      </c>
      <c r="E39" s="12">
        <v>12.0</v>
      </c>
      <c r="F39" s="12">
        <v>25.200000000000003</v>
      </c>
      <c r="G39" s="12">
        <v>17.2</v>
      </c>
      <c r="H39" s="12">
        <v>14.2</v>
      </c>
      <c r="I39" s="12">
        <v>80.60000000000001</v>
      </c>
      <c r="J39" s="11" t="s">
        <v>88</v>
      </c>
      <c r="K39" s="11" t="s">
        <v>52</v>
      </c>
      <c r="L39" s="17"/>
    </row>
    <row r="40">
      <c r="A40" s="9">
        <v>45930.46697621528</v>
      </c>
      <c r="B40" s="11" t="s">
        <v>193</v>
      </c>
      <c r="C40" s="11" t="s">
        <v>169</v>
      </c>
      <c r="D40" s="12">
        <v>12.0</v>
      </c>
      <c r="E40" s="12">
        <v>12.0</v>
      </c>
      <c r="F40" s="12">
        <v>23.8</v>
      </c>
      <c r="G40" s="12">
        <v>17.6</v>
      </c>
      <c r="H40" s="12">
        <v>11.200000000000001</v>
      </c>
      <c r="I40" s="12">
        <v>76.60000000000001</v>
      </c>
      <c r="J40" s="11" t="s">
        <v>38</v>
      </c>
      <c r="K40" s="11" t="s">
        <v>52</v>
      </c>
      <c r="L40" s="17"/>
    </row>
    <row r="41">
      <c r="A41" s="9">
        <v>45930.48036369213</v>
      </c>
      <c r="B41" s="11" t="s">
        <v>193</v>
      </c>
      <c r="C41" s="11" t="s">
        <v>200</v>
      </c>
      <c r="D41" s="12">
        <v>12.0</v>
      </c>
      <c r="E41" s="12">
        <v>10.600000000000001</v>
      </c>
      <c r="F41" s="12">
        <v>24.200000000000003</v>
      </c>
      <c r="G41" s="12">
        <v>13.2</v>
      </c>
      <c r="H41" s="12">
        <v>11.0</v>
      </c>
      <c r="I41" s="12">
        <v>71.0</v>
      </c>
      <c r="J41" s="11" t="s">
        <v>38</v>
      </c>
      <c r="K41" s="11" t="s">
        <v>52</v>
      </c>
      <c r="L41" s="17"/>
    </row>
    <row r="42">
      <c r="A42" s="9">
        <v>45930.48838444444</v>
      </c>
      <c r="B42" s="11" t="s">
        <v>193</v>
      </c>
      <c r="C42" s="11" t="s">
        <v>202</v>
      </c>
      <c r="D42" s="12">
        <v>12.8</v>
      </c>
      <c r="E42" s="12">
        <v>12.0</v>
      </c>
      <c r="F42" s="12">
        <v>25.2</v>
      </c>
      <c r="G42" s="12">
        <v>13.2</v>
      </c>
      <c r="H42" s="12">
        <v>11.200000000000001</v>
      </c>
      <c r="I42" s="12">
        <v>74.4</v>
      </c>
      <c r="J42" s="11" t="s">
        <v>60</v>
      </c>
      <c r="K42" s="11" t="s">
        <v>203</v>
      </c>
      <c r="L42" s="17"/>
    </row>
    <row r="43">
      <c r="A43" s="9">
        <v>45930.49578575231</v>
      </c>
      <c r="B43" s="11" t="s">
        <v>193</v>
      </c>
      <c r="C43" s="11" t="s">
        <v>116</v>
      </c>
      <c r="D43" s="12">
        <v>10.6</v>
      </c>
      <c r="E43" s="12">
        <v>10.600000000000001</v>
      </c>
      <c r="F43" s="12">
        <v>22.600000000000005</v>
      </c>
      <c r="G43" s="12">
        <v>12.0</v>
      </c>
      <c r="H43" s="12">
        <v>10.0</v>
      </c>
      <c r="I43" s="12">
        <v>65.80000000000001</v>
      </c>
      <c r="J43" s="11" t="s">
        <v>53</v>
      </c>
      <c r="K43" s="11" t="s">
        <v>52</v>
      </c>
      <c r="L43" s="17"/>
    </row>
    <row r="44">
      <c r="A44" s="9">
        <v>45930.50171251157</v>
      </c>
      <c r="B44" s="11" t="s">
        <v>193</v>
      </c>
      <c r="C44" s="11" t="s">
        <v>206</v>
      </c>
      <c r="D44" s="12">
        <v>13.0</v>
      </c>
      <c r="E44" s="12">
        <v>13.6</v>
      </c>
      <c r="F44" s="12">
        <v>24.200000000000003</v>
      </c>
      <c r="G44" s="12">
        <v>13.2</v>
      </c>
      <c r="H44" s="12">
        <v>10.2</v>
      </c>
      <c r="I44" s="12">
        <v>74.2</v>
      </c>
      <c r="J44" s="11" t="s">
        <v>38</v>
      </c>
      <c r="K44" s="11" t="s">
        <v>52</v>
      </c>
      <c r="L44" s="17"/>
    </row>
    <row r="45">
      <c r="A45" s="9">
        <v>45930.50905199074</v>
      </c>
      <c r="B45" s="11" t="s">
        <v>193</v>
      </c>
      <c r="C45" s="11" t="s">
        <v>205</v>
      </c>
      <c r="D45" s="12">
        <v>15.0</v>
      </c>
      <c r="E45" s="12">
        <v>12.0</v>
      </c>
      <c r="F45" s="12">
        <v>32.199999999999996</v>
      </c>
      <c r="G45" s="12">
        <v>17.6</v>
      </c>
      <c r="H45" s="12">
        <v>15.0</v>
      </c>
      <c r="I45" s="12">
        <v>91.8</v>
      </c>
      <c r="J45" s="11" t="s">
        <v>38</v>
      </c>
      <c r="K45" s="11" t="s">
        <v>52</v>
      </c>
      <c r="L45" s="17"/>
    </row>
    <row r="46">
      <c r="A46" s="9">
        <v>45930.51563090278</v>
      </c>
      <c r="B46" s="11" t="s">
        <v>193</v>
      </c>
      <c r="C46" s="11" t="s">
        <v>210</v>
      </c>
      <c r="D46" s="12">
        <v>10.2</v>
      </c>
      <c r="E46" s="12">
        <v>9.0</v>
      </c>
      <c r="F46" s="12">
        <v>21.000000000000004</v>
      </c>
      <c r="G46" s="12">
        <v>12.0</v>
      </c>
      <c r="H46" s="12">
        <v>6.800000000000001</v>
      </c>
      <c r="I46" s="12">
        <v>59.0</v>
      </c>
      <c r="J46" s="11" t="s">
        <v>38</v>
      </c>
      <c r="K46" s="11" t="s">
        <v>52</v>
      </c>
      <c r="L46" s="17"/>
    </row>
    <row r="47">
      <c r="A47" s="9">
        <v>45930.52446673611</v>
      </c>
      <c r="B47" s="11" t="s">
        <v>193</v>
      </c>
      <c r="C47" s="11" t="s">
        <v>201</v>
      </c>
      <c r="D47" s="12">
        <v>12.0</v>
      </c>
      <c r="E47" s="12">
        <v>10.600000000000001</v>
      </c>
      <c r="F47" s="12">
        <v>28.0</v>
      </c>
      <c r="G47" s="12">
        <v>16.400000000000002</v>
      </c>
      <c r="H47" s="12">
        <v>9.8</v>
      </c>
      <c r="I47" s="12">
        <v>76.8</v>
      </c>
      <c r="J47" s="11" t="s">
        <v>38</v>
      </c>
      <c r="K47" s="11" t="s">
        <v>52</v>
      </c>
      <c r="L47" s="17"/>
    </row>
    <row r="48">
      <c r="A48" s="9">
        <v>45930.53257552083</v>
      </c>
      <c r="B48" s="11" t="s">
        <v>193</v>
      </c>
      <c r="C48" s="11" t="s">
        <v>75</v>
      </c>
      <c r="D48" s="12">
        <v>9.8</v>
      </c>
      <c r="E48" s="12">
        <v>12.0</v>
      </c>
      <c r="F48" s="12">
        <v>28.0</v>
      </c>
      <c r="G48" s="12">
        <v>14.399999999999999</v>
      </c>
      <c r="H48" s="12">
        <v>13.0</v>
      </c>
      <c r="I48" s="12">
        <v>77.19999999999999</v>
      </c>
      <c r="J48" s="11" t="s">
        <v>51</v>
      </c>
      <c r="K48" s="11" t="s">
        <v>52</v>
      </c>
      <c r="L48" s="17"/>
    </row>
    <row r="49">
      <c r="A49" s="9">
        <v>45930.54034704861</v>
      </c>
      <c r="B49" s="11" t="s">
        <v>193</v>
      </c>
      <c r="C49" s="11" t="s">
        <v>211</v>
      </c>
      <c r="D49" s="12">
        <v>12.0</v>
      </c>
      <c r="E49" s="12">
        <v>12.0</v>
      </c>
      <c r="F49" s="12">
        <v>28.0</v>
      </c>
      <c r="G49" s="12">
        <v>17.6</v>
      </c>
      <c r="H49" s="12">
        <v>12.0</v>
      </c>
      <c r="I49" s="12">
        <v>81.6</v>
      </c>
      <c r="J49" s="11" t="s">
        <v>212</v>
      </c>
      <c r="K49" s="11" t="s">
        <v>212</v>
      </c>
      <c r="L49" s="17"/>
    </row>
    <row r="50">
      <c r="A50" s="9">
        <v>45930.54040085648</v>
      </c>
      <c r="B50" s="11" t="s">
        <v>193</v>
      </c>
      <c r="C50" s="11" t="s">
        <v>211</v>
      </c>
      <c r="D50" s="12">
        <v>12.0</v>
      </c>
      <c r="E50" s="12">
        <v>12.0</v>
      </c>
      <c r="F50" s="12">
        <v>28.0</v>
      </c>
      <c r="G50" s="12">
        <v>17.6</v>
      </c>
      <c r="H50" s="12">
        <v>12.0</v>
      </c>
      <c r="I50" s="12">
        <v>81.6</v>
      </c>
      <c r="J50" s="11" t="s">
        <v>212</v>
      </c>
      <c r="K50" s="11" t="s">
        <v>212</v>
      </c>
      <c r="L50" s="17"/>
    </row>
    <row r="51">
      <c r="A51" s="9">
        <v>45930.54604883102</v>
      </c>
      <c r="B51" s="11" t="s">
        <v>193</v>
      </c>
      <c r="C51" s="11" t="s">
        <v>196</v>
      </c>
      <c r="D51" s="12">
        <v>12.0</v>
      </c>
      <c r="E51" s="12">
        <v>12.0</v>
      </c>
      <c r="F51" s="12">
        <v>31.200000000000003</v>
      </c>
      <c r="G51" s="12">
        <v>17.6</v>
      </c>
      <c r="H51" s="12">
        <v>12.0</v>
      </c>
      <c r="I51" s="12">
        <v>84.80000000000001</v>
      </c>
      <c r="J51" s="11" t="s">
        <v>51</v>
      </c>
      <c r="K51" s="11" t="s">
        <v>52</v>
      </c>
      <c r="L51" s="17"/>
    </row>
    <row r="52">
      <c r="A52" s="9">
        <v>45930.556239513884</v>
      </c>
      <c r="B52" s="11" t="s">
        <v>193</v>
      </c>
      <c r="C52" s="11" t="s">
        <v>217</v>
      </c>
      <c r="D52" s="12">
        <v>13.0</v>
      </c>
      <c r="E52" s="12">
        <v>13.4</v>
      </c>
      <c r="F52" s="12">
        <v>32.0</v>
      </c>
      <c r="G52" s="12">
        <v>17.2</v>
      </c>
      <c r="H52" s="12">
        <v>12.0</v>
      </c>
      <c r="I52" s="12">
        <v>87.6</v>
      </c>
      <c r="J52" s="11" t="s">
        <v>212</v>
      </c>
      <c r="K52" s="11" t="s">
        <v>212</v>
      </c>
      <c r="L52" s="17"/>
    </row>
    <row r="53">
      <c r="A53" s="9">
        <v>45930.58343549768</v>
      </c>
      <c r="B53" s="11" t="s">
        <v>193</v>
      </c>
      <c r="C53" s="11" t="s">
        <v>219</v>
      </c>
      <c r="D53" s="12">
        <v>12.0</v>
      </c>
      <c r="E53" s="12">
        <v>12.0</v>
      </c>
      <c r="F53" s="12">
        <v>25.0</v>
      </c>
      <c r="G53" s="12">
        <v>13.6</v>
      </c>
      <c r="H53" s="12">
        <v>12.0</v>
      </c>
      <c r="I53" s="12">
        <v>74.6</v>
      </c>
      <c r="J53" s="11" t="s">
        <v>212</v>
      </c>
      <c r="K53" s="11" t="s">
        <v>212</v>
      </c>
      <c r="L53" s="17"/>
    </row>
    <row r="54">
      <c r="A54" s="9">
        <v>45930.591258043976</v>
      </c>
      <c r="B54" s="11" t="s">
        <v>193</v>
      </c>
      <c r="C54" s="11" t="s">
        <v>223</v>
      </c>
      <c r="D54" s="12">
        <v>9.8</v>
      </c>
      <c r="E54" s="12">
        <v>10.600000000000001</v>
      </c>
      <c r="F54" s="12">
        <v>28.0</v>
      </c>
      <c r="G54" s="12">
        <v>14.799999999999999</v>
      </c>
      <c r="H54" s="12">
        <v>12.0</v>
      </c>
      <c r="I54" s="12">
        <v>75.2</v>
      </c>
      <c r="J54" s="11" t="s">
        <v>212</v>
      </c>
      <c r="K54" s="11" t="s">
        <v>212</v>
      </c>
      <c r="L54" s="17"/>
    </row>
    <row r="55">
      <c r="A55" s="9">
        <v>45930.59798957176</v>
      </c>
      <c r="B55" s="11" t="s">
        <v>193</v>
      </c>
      <c r="C55" s="11" t="s">
        <v>225</v>
      </c>
      <c r="D55" s="12">
        <v>12.0</v>
      </c>
      <c r="E55" s="12">
        <v>12.0</v>
      </c>
      <c r="F55" s="12">
        <v>24.000000000000004</v>
      </c>
      <c r="G55" s="12">
        <v>12.0</v>
      </c>
      <c r="H55" s="12">
        <v>9.0</v>
      </c>
      <c r="I55" s="12">
        <v>69.0</v>
      </c>
      <c r="J55" s="11" t="s">
        <v>88</v>
      </c>
      <c r="K55" s="11" t="s">
        <v>52</v>
      </c>
      <c r="L55" s="17"/>
    </row>
    <row r="56">
      <c r="A56" s="9">
        <v>45930.60784777778</v>
      </c>
      <c r="B56" s="11" t="s">
        <v>193</v>
      </c>
      <c r="C56" s="11" t="s">
        <v>228</v>
      </c>
      <c r="D56" s="12">
        <v>9.0</v>
      </c>
      <c r="E56" s="12">
        <v>7.6</v>
      </c>
      <c r="F56" s="12">
        <v>15.2</v>
      </c>
      <c r="G56" s="12">
        <v>9.2</v>
      </c>
      <c r="H56" s="12">
        <v>3.6</v>
      </c>
      <c r="I56" s="12">
        <v>44.6</v>
      </c>
      <c r="J56" s="11" t="s">
        <v>53</v>
      </c>
      <c r="K56" s="11" t="s">
        <v>52</v>
      </c>
      <c r="L56" s="17"/>
    </row>
    <row r="57">
      <c r="A57" s="9">
        <v>45930.61518296297</v>
      </c>
      <c r="B57" s="11" t="s">
        <v>193</v>
      </c>
      <c r="C57" s="11" t="s">
        <v>230</v>
      </c>
      <c r="D57" s="12">
        <v>12.0</v>
      </c>
      <c r="E57" s="12">
        <v>12.0</v>
      </c>
      <c r="F57" s="12">
        <v>28.0</v>
      </c>
      <c r="G57" s="12">
        <v>14.799999999999999</v>
      </c>
      <c r="H57" s="12">
        <v>13.0</v>
      </c>
      <c r="I57" s="12">
        <v>79.8</v>
      </c>
      <c r="J57" s="11" t="s">
        <v>212</v>
      </c>
      <c r="K57" s="11" t="s">
        <v>212</v>
      </c>
      <c r="L57" s="17"/>
    </row>
    <row r="58">
      <c r="A58" s="9">
        <v>45930.625306076385</v>
      </c>
      <c r="B58" s="11" t="s">
        <v>193</v>
      </c>
      <c r="C58" s="11" t="s">
        <v>234</v>
      </c>
      <c r="D58" s="12">
        <v>12.0</v>
      </c>
      <c r="E58" s="12">
        <v>12.0</v>
      </c>
      <c r="F58" s="12">
        <v>28.0</v>
      </c>
      <c r="G58" s="12">
        <v>10.799999999999999</v>
      </c>
      <c r="H58" s="12">
        <v>8.2</v>
      </c>
      <c r="I58" s="12">
        <v>71.0</v>
      </c>
      <c r="J58" s="11" t="s">
        <v>53</v>
      </c>
      <c r="K58" s="11" t="s">
        <v>52</v>
      </c>
      <c r="L58" s="17"/>
    </row>
    <row r="59">
      <c r="A59" s="9">
        <v>45930.645921724536</v>
      </c>
      <c r="B59" s="11" t="s">
        <v>193</v>
      </c>
      <c r="C59" s="11" t="s">
        <v>99</v>
      </c>
      <c r="D59" s="12">
        <v>12.0</v>
      </c>
      <c r="E59" s="12">
        <v>12.0</v>
      </c>
      <c r="F59" s="12">
        <v>28.0</v>
      </c>
      <c r="G59" s="12">
        <v>16.0</v>
      </c>
      <c r="H59" s="12">
        <v>12.0</v>
      </c>
      <c r="I59" s="12">
        <v>80.0</v>
      </c>
      <c r="J59" s="11" t="s">
        <v>38</v>
      </c>
      <c r="K59" s="11" t="s">
        <v>52</v>
      </c>
      <c r="L59" s="14" t="s">
        <v>240</v>
      </c>
    </row>
    <row r="60">
      <c r="A60" s="9">
        <v>45930.64809189815</v>
      </c>
      <c r="B60" s="11" t="s">
        <v>127</v>
      </c>
      <c r="C60" s="11" t="s">
        <v>213</v>
      </c>
      <c r="D60" s="12">
        <v>6.0</v>
      </c>
      <c r="E60" s="12">
        <v>9.0</v>
      </c>
      <c r="F60" s="12">
        <v>14.0</v>
      </c>
      <c r="G60" s="12">
        <v>8.0</v>
      </c>
      <c r="H60" s="12">
        <v>6.0</v>
      </c>
      <c r="I60" s="12">
        <v>43.0</v>
      </c>
      <c r="J60" s="11" t="s">
        <v>53</v>
      </c>
      <c r="K60" s="11" t="s">
        <v>59</v>
      </c>
      <c r="L60" s="14" t="s">
        <v>242</v>
      </c>
    </row>
    <row r="61">
      <c r="A61" s="9">
        <v>45930.65406850695</v>
      </c>
      <c r="B61" s="11" t="s">
        <v>193</v>
      </c>
      <c r="C61" s="11" t="s">
        <v>245</v>
      </c>
      <c r="D61" s="12">
        <v>12.0</v>
      </c>
      <c r="E61" s="12">
        <v>12.0</v>
      </c>
      <c r="F61" s="12">
        <v>33.4</v>
      </c>
      <c r="G61" s="12">
        <v>18.8</v>
      </c>
      <c r="H61" s="12">
        <v>13.0</v>
      </c>
      <c r="I61" s="12">
        <v>89.2</v>
      </c>
      <c r="J61" s="11" t="s">
        <v>88</v>
      </c>
      <c r="K61" s="11" t="s">
        <v>52</v>
      </c>
      <c r="L61" s="14" t="s">
        <v>247</v>
      </c>
    </row>
    <row r="62">
      <c r="A62" s="9">
        <v>45930.65545244213</v>
      </c>
      <c r="B62" s="11" t="s">
        <v>34</v>
      </c>
      <c r="C62" s="11" t="s">
        <v>248</v>
      </c>
      <c r="D62" s="12">
        <v>12.0</v>
      </c>
      <c r="E62" s="12">
        <v>12.0</v>
      </c>
      <c r="F62" s="12">
        <v>35.0</v>
      </c>
      <c r="G62" s="12">
        <v>18.8</v>
      </c>
      <c r="H62" s="12">
        <v>12.0</v>
      </c>
      <c r="I62" s="12">
        <v>89.8</v>
      </c>
      <c r="J62" s="11" t="s">
        <v>53</v>
      </c>
      <c r="K62" s="11" t="s">
        <v>39</v>
      </c>
      <c r="L62" s="17"/>
    </row>
    <row r="63">
      <c r="A63" s="9">
        <v>45930.65655002315</v>
      </c>
      <c r="B63" s="11" t="s">
        <v>34</v>
      </c>
      <c r="C63" s="11" t="s">
        <v>250</v>
      </c>
      <c r="D63" s="12">
        <v>12.0</v>
      </c>
      <c r="E63" s="12">
        <v>12.0</v>
      </c>
      <c r="F63" s="12">
        <v>28.0</v>
      </c>
      <c r="G63" s="12">
        <v>20.0</v>
      </c>
      <c r="H63" s="12">
        <v>10.2</v>
      </c>
      <c r="I63" s="12">
        <v>82.2</v>
      </c>
      <c r="J63" s="11" t="s">
        <v>53</v>
      </c>
      <c r="K63" s="11" t="s">
        <v>39</v>
      </c>
      <c r="L63" s="17"/>
    </row>
    <row r="64">
      <c r="A64" s="9">
        <v>45930.69793891204</v>
      </c>
      <c r="B64" s="11" t="s">
        <v>127</v>
      </c>
      <c r="C64" s="11" t="s">
        <v>209</v>
      </c>
      <c r="D64" s="12">
        <v>6.800000000000001</v>
      </c>
      <c r="E64" s="12">
        <v>10.600000000000001</v>
      </c>
      <c r="F64" s="12">
        <v>18.0</v>
      </c>
      <c r="G64" s="12">
        <v>12.0</v>
      </c>
      <c r="H64" s="12">
        <v>9.0</v>
      </c>
      <c r="I64" s="12">
        <v>56.400000000000006</v>
      </c>
      <c r="J64" s="11" t="s">
        <v>53</v>
      </c>
      <c r="K64" s="11" t="s">
        <v>59</v>
      </c>
      <c r="L64" s="14" t="s">
        <v>252</v>
      </c>
    </row>
    <row r="65">
      <c r="A65" s="9">
        <v>45930.698722534726</v>
      </c>
      <c r="B65" s="11" t="s">
        <v>193</v>
      </c>
      <c r="C65" s="11" t="s">
        <v>70</v>
      </c>
      <c r="D65" s="12">
        <v>11.200000000000001</v>
      </c>
      <c r="E65" s="12">
        <v>9.0</v>
      </c>
      <c r="F65" s="12">
        <v>14.0</v>
      </c>
      <c r="G65" s="12">
        <v>10.799999999999999</v>
      </c>
      <c r="H65" s="12">
        <v>6.0</v>
      </c>
      <c r="I65" s="12">
        <v>51.0</v>
      </c>
      <c r="J65" s="11" t="s">
        <v>38</v>
      </c>
      <c r="K65" s="11" t="s">
        <v>52</v>
      </c>
      <c r="L65" s="14" t="s">
        <v>255</v>
      </c>
    </row>
    <row r="66">
      <c r="A66" s="9">
        <v>45930.70588219908</v>
      </c>
      <c r="B66" s="11" t="s">
        <v>193</v>
      </c>
      <c r="C66" s="11" t="s">
        <v>191</v>
      </c>
      <c r="D66" s="12">
        <v>7.800000000000001</v>
      </c>
      <c r="E66" s="12">
        <v>7.4</v>
      </c>
      <c r="F66" s="12">
        <v>18.0</v>
      </c>
      <c r="G66" s="12">
        <v>8.0</v>
      </c>
      <c r="H66" s="12">
        <v>9.0</v>
      </c>
      <c r="I66" s="12">
        <v>50.2</v>
      </c>
      <c r="J66" s="11" t="s">
        <v>38</v>
      </c>
      <c r="K66" s="11" t="s">
        <v>52</v>
      </c>
      <c r="L66" s="14" t="s">
        <v>258</v>
      </c>
    </row>
    <row r="67">
      <c r="A67" s="9">
        <v>45930.71210984954</v>
      </c>
      <c r="B67" s="11" t="s">
        <v>193</v>
      </c>
      <c r="C67" s="11" t="s">
        <v>132</v>
      </c>
      <c r="D67" s="12">
        <v>9.0</v>
      </c>
      <c r="E67" s="12">
        <v>9.0</v>
      </c>
      <c r="F67" s="12">
        <v>14.0</v>
      </c>
      <c r="G67" s="12">
        <v>12.4</v>
      </c>
      <c r="H67" s="12">
        <v>9.0</v>
      </c>
      <c r="I67" s="12">
        <v>53.4</v>
      </c>
      <c r="J67" s="11" t="s">
        <v>38</v>
      </c>
      <c r="K67" s="11" t="s">
        <v>52</v>
      </c>
      <c r="L67" s="14" t="s">
        <v>261</v>
      </c>
    </row>
    <row r="68">
      <c r="A68" s="9">
        <v>45930.72086876158</v>
      </c>
      <c r="B68" s="11" t="s">
        <v>193</v>
      </c>
      <c r="C68" s="11" t="s">
        <v>262</v>
      </c>
      <c r="D68" s="12">
        <v>9.0</v>
      </c>
      <c r="E68" s="12">
        <v>6.0</v>
      </c>
      <c r="F68" s="12">
        <v>14.0</v>
      </c>
      <c r="G68" s="12">
        <v>8.0</v>
      </c>
      <c r="H68" s="12">
        <v>6.0</v>
      </c>
      <c r="I68" s="12">
        <v>43.0</v>
      </c>
      <c r="J68" s="11" t="s">
        <v>53</v>
      </c>
      <c r="K68" s="11" t="s">
        <v>52</v>
      </c>
      <c r="L68" s="14" t="s">
        <v>263</v>
      </c>
    </row>
    <row r="69">
      <c r="A69" s="9">
        <v>45930.72792754629</v>
      </c>
      <c r="B69" s="11" t="s">
        <v>193</v>
      </c>
      <c r="C69" s="11" t="s">
        <v>47</v>
      </c>
      <c r="D69" s="12">
        <v>10.2</v>
      </c>
      <c r="E69" s="12">
        <v>9.0</v>
      </c>
      <c r="F69" s="12">
        <v>25.2</v>
      </c>
      <c r="G69" s="12">
        <v>13.6</v>
      </c>
      <c r="H69" s="12">
        <v>9.0</v>
      </c>
      <c r="I69" s="12">
        <v>67.0</v>
      </c>
      <c r="J69" s="11" t="s">
        <v>51</v>
      </c>
      <c r="K69" s="11" t="s">
        <v>52</v>
      </c>
      <c r="L69" s="14" t="s">
        <v>264</v>
      </c>
    </row>
    <row r="70" ht="15.0" customHeight="1">
      <c r="A70" s="9">
        <v>45930.73955061343</v>
      </c>
      <c r="B70" s="11" t="s">
        <v>44</v>
      </c>
      <c r="C70" s="11" t="s">
        <v>265</v>
      </c>
      <c r="D70" s="12">
        <v>10.2</v>
      </c>
      <c r="E70" s="12">
        <v>10.600000000000001</v>
      </c>
      <c r="F70" s="12">
        <v>22.400000000000002</v>
      </c>
      <c r="G70" s="12">
        <v>13.6</v>
      </c>
      <c r="H70" s="12">
        <v>9.0</v>
      </c>
      <c r="I70" s="12">
        <v>65.80000000000001</v>
      </c>
      <c r="J70" s="11" t="s">
        <v>53</v>
      </c>
      <c r="K70" s="11" t="s">
        <v>39</v>
      </c>
      <c r="L70" s="14" t="s">
        <v>266</v>
      </c>
    </row>
    <row r="71">
      <c r="B71" s="22" t="s">
        <v>267</v>
      </c>
      <c r="C71" s="23" t="s">
        <v>243</v>
      </c>
      <c r="D71" s="24">
        <v>11.0</v>
      </c>
      <c r="E71" s="24">
        <v>10.0</v>
      </c>
      <c r="F71" s="24">
        <v>28.0</v>
      </c>
      <c r="G71" s="24">
        <v>14.0</v>
      </c>
      <c r="H71" s="24">
        <v>11.0</v>
      </c>
      <c r="I71" s="24">
        <v>74.0</v>
      </c>
      <c r="J71" s="25" t="s">
        <v>53</v>
      </c>
      <c r="K71" s="26" t="s">
        <v>52</v>
      </c>
      <c r="L71" s="27" t="s">
        <v>272</v>
      </c>
    </row>
    <row r="72">
      <c r="B72" s="22" t="s">
        <v>273</v>
      </c>
      <c r="C72" s="23" t="s">
        <v>106</v>
      </c>
      <c r="D72" s="24">
        <v>12.0</v>
      </c>
      <c r="E72" s="24">
        <v>12.0</v>
      </c>
      <c r="F72" s="24">
        <v>26.0</v>
      </c>
      <c r="G72" s="24">
        <v>14.0</v>
      </c>
      <c r="H72" s="24">
        <v>10.0</v>
      </c>
      <c r="I72" s="24">
        <v>74.0</v>
      </c>
      <c r="J72" s="25" t="s">
        <v>53</v>
      </c>
      <c r="K72" s="26" t="s">
        <v>52</v>
      </c>
      <c r="L72" s="27" t="s">
        <v>274</v>
      </c>
    </row>
    <row r="73">
      <c r="B73" s="22" t="s">
        <v>275</v>
      </c>
      <c r="C73" s="23" t="s">
        <v>112</v>
      </c>
      <c r="D73" s="24">
        <v>9.0</v>
      </c>
      <c r="E73" s="24">
        <v>10.0</v>
      </c>
      <c r="F73" s="24">
        <v>27.0</v>
      </c>
      <c r="G73" s="24">
        <v>14.0</v>
      </c>
      <c r="H73" s="24">
        <v>9.0</v>
      </c>
      <c r="I73" s="24">
        <v>69.0</v>
      </c>
      <c r="J73" s="25" t="s">
        <v>53</v>
      </c>
      <c r="K73" s="26" t="s">
        <v>52</v>
      </c>
      <c r="L73" s="27" t="s">
        <v>278</v>
      </c>
    </row>
    <row r="74">
      <c r="B74" s="22" t="s">
        <v>280</v>
      </c>
      <c r="C74" s="23" t="s">
        <v>281</v>
      </c>
      <c r="D74" s="24">
        <v>10.0</v>
      </c>
      <c r="E74" s="24">
        <v>12.0</v>
      </c>
      <c r="F74" s="24">
        <v>26.0</v>
      </c>
      <c r="G74" s="24">
        <v>14.0</v>
      </c>
      <c r="H74" s="24">
        <v>10.0</v>
      </c>
      <c r="I74" s="24">
        <v>72.0</v>
      </c>
      <c r="J74" s="25" t="s">
        <v>53</v>
      </c>
      <c r="K74" s="26" t="s">
        <v>52</v>
      </c>
      <c r="L74" s="27" t="s">
        <v>284</v>
      </c>
    </row>
    <row r="75">
      <c r="B75" s="22" t="s">
        <v>286</v>
      </c>
      <c r="C75" s="23" t="s">
        <v>259</v>
      </c>
      <c r="D75" s="28"/>
      <c r="E75" s="24">
        <v>9.0</v>
      </c>
      <c r="F75" s="24">
        <v>28.0</v>
      </c>
      <c r="G75" s="24">
        <v>15.0</v>
      </c>
      <c r="H75" s="24">
        <v>10.0</v>
      </c>
      <c r="I75" s="24">
        <v>62.0</v>
      </c>
      <c r="J75" s="25" t="s">
        <v>53</v>
      </c>
      <c r="K75" s="26" t="s">
        <v>52</v>
      </c>
      <c r="L75" s="27" t="s">
        <v>289</v>
      </c>
    </row>
    <row r="76">
      <c r="B76" s="22" t="s">
        <v>290</v>
      </c>
      <c r="C76" s="23" t="s">
        <v>291</v>
      </c>
      <c r="D76" s="24">
        <v>10.0</v>
      </c>
      <c r="E76" s="24">
        <v>12.0</v>
      </c>
      <c r="F76" s="24">
        <v>28.0</v>
      </c>
      <c r="G76" s="24">
        <v>14.0</v>
      </c>
      <c r="H76" s="24">
        <v>12.0</v>
      </c>
      <c r="I76" s="24">
        <v>76.0</v>
      </c>
      <c r="J76" s="25" t="s">
        <v>53</v>
      </c>
      <c r="K76" s="26" t="s">
        <v>52</v>
      </c>
      <c r="L76" s="27" t="s">
        <v>294</v>
      </c>
    </row>
    <row r="77">
      <c r="B77" s="22" t="s">
        <v>295</v>
      </c>
      <c r="C77" s="23" t="s">
        <v>253</v>
      </c>
      <c r="D77" s="24">
        <v>11.0</v>
      </c>
      <c r="E77" s="28"/>
      <c r="F77" s="24">
        <v>26.0</v>
      </c>
      <c r="G77" s="28"/>
      <c r="H77" s="28"/>
      <c r="I77" s="28"/>
      <c r="J77" s="25" t="s">
        <v>53</v>
      </c>
      <c r="K77" s="26" t="s">
        <v>52</v>
      </c>
      <c r="L77" s="27" t="s">
        <v>298</v>
      </c>
    </row>
    <row r="78">
      <c r="B78" s="22" t="s">
        <v>299</v>
      </c>
      <c r="C78" s="23" t="s">
        <v>262</v>
      </c>
      <c r="D78" s="24">
        <v>10.0</v>
      </c>
      <c r="E78" s="24">
        <v>10.0</v>
      </c>
      <c r="F78" s="24">
        <v>24.0</v>
      </c>
      <c r="G78" s="24">
        <v>12.0</v>
      </c>
      <c r="H78" s="24">
        <v>9.0</v>
      </c>
      <c r="I78" s="24">
        <v>65.0</v>
      </c>
      <c r="J78" s="25" t="s">
        <v>53</v>
      </c>
      <c r="K78" s="26" t="s">
        <v>52</v>
      </c>
      <c r="L78" s="27" t="s">
        <v>301</v>
      </c>
    </row>
    <row r="79">
      <c r="A79" s="9">
        <v>45931.28461376157</v>
      </c>
      <c r="B79" s="11" t="s">
        <v>34</v>
      </c>
      <c r="C79" s="11" t="s">
        <v>234</v>
      </c>
      <c r="D79" s="12">
        <v>15.0</v>
      </c>
      <c r="E79" s="12">
        <v>15.0</v>
      </c>
      <c r="F79" s="12">
        <v>32.6</v>
      </c>
      <c r="G79" s="12">
        <v>20.0</v>
      </c>
      <c r="H79" s="12">
        <v>14.0</v>
      </c>
      <c r="I79" s="12">
        <v>96.6</v>
      </c>
      <c r="J79" s="11" t="s">
        <v>53</v>
      </c>
      <c r="K79" s="11" t="s">
        <v>52</v>
      </c>
      <c r="L79" s="17"/>
      <c r="M79" s="11" t="s">
        <v>305</v>
      </c>
    </row>
    <row r="80">
      <c r="A80" s="9">
        <v>45931.285353680556</v>
      </c>
      <c r="B80" s="11" t="s">
        <v>34</v>
      </c>
      <c r="C80" s="11" t="s">
        <v>306</v>
      </c>
      <c r="D80" s="12">
        <v>8.8</v>
      </c>
      <c r="E80" s="12">
        <v>12.0</v>
      </c>
      <c r="F80" s="12">
        <v>24.200000000000003</v>
      </c>
      <c r="G80" s="12">
        <v>17.6</v>
      </c>
      <c r="H80" s="12">
        <v>13.2</v>
      </c>
      <c r="I80" s="12">
        <v>75.8</v>
      </c>
      <c r="J80" s="11" t="s">
        <v>51</v>
      </c>
      <c r="K80" s="11" t="s">
        <v>39</v>
      </c>
      <c r="L80" s="17"/>
    </row>
    <row r="81">
      <c r="A81" s="9">
        <v>45931.28606315972</v>
      </c>
      <c r="B81" s="11" t="s">
        <v>34</v>
      </c>
      <c r="C81" s="11" t="s">
        <v>308</v>
      </c>
      <c r="D81" s="12">
        <v>15.0</v>
      </c>
      <c r="E81" s="12">
        <v>13.6</v>
      </c>
      <c r="F81" s="12">
        <v>32.0</v>
      </c>
      <c r="G81" s="12">
        <v>20.0</v>
      </c>
      <c r="H81" s="12">
        <v>13.2</v>
      </c>
      <c r="I81" s="12">
        <v>93.8</v>
      </c>
      <c r="J81" s="11" t="s">
        <v>53</v>
      </c>
      <c r="K81" s="11" t="s">
        <v>39</v>
      </c>
      <c r="L81" s="17"/>
    </row>
    <row r="82">
      <c r="A82" s="9">
        <v>45931.286726122686</v>
      </c>
      <c r="B82" s="11" t="s">
        <v>34</v>
      </c>
      <c r="C82" s="11" t="s">
        <v>310</v>
      </c>
      <c r="D82" s="12">
        <v>12.0</v>
      </c>
      <c r="E82" s="12">
        <v>9.0</v>
      </c>
      <c r="F82" s="12">
        <v>17.0</v>
      </c>
      <c r="G82" s="12">
        <v>13.6</v>
      </c>
      <c r="H82" s="12">
        <v>10.2</v>
      </c>
      <c r="I82" s="12">
        <v>61.8</v>
      </c>
      <c r="J82" s="11" t="s">
        <v>51</v>
      </c>
      <c r="K82" s="11" t="s">
        <v>39</v>
      </c>
      <c r="L82" s="17"/>
      <c r="M82" s="11" t="s">
        <v>314</v>
      </c>
    </row>
    <row r="83">
      <c r="A83" s="9">
        <v>45931.28742606481</v>
      </c>
      <c r="B83" s="11" t="s">
        <v>34</v>
      </c>
      <c r="C83" s="11" t="s">
        <v>316</v>
      </c>
      <c r="D83" s="12">
        <v>15.0</v>
      </c>
      <c r="E83" s="12">
        <v>13.4</v>
      </c>
      <c r="F83" s="12">
        <v>31.0</v>
      </c>
      <c r="G83" s="12">
        <v>20.0</v>
      </c>
      <c r="H83" s="12">
        <v>13.2</v>
      </c>
      <c r="I83" s="12">
        <v>92.60000000000001</v>
      </c>
      <c r="J83" s="11" t="s">
        <v>51</v>
      </c>
      <c r="K83" s="11" t="s">
        <v>39</v>
      </c>
      <c r="L83" s="17"/>
      <c r="M83" s="11" t="s">
        <v>317</v>
      </c>
    </row>
    <row r="84">
      <c r="A84" s="9">
        <v>45931.28825199074</v>
      </c>
      <c r="B84" s="11" t="s">
        <v>34</v>
      </c>
      <c r="C84" s="11" t="s">
        <v>318</v>
      </c>
      <c r="D84" s="12">
        <v>12.0</v>
      </c>
      <c r="E84" s="12">
        <v>12.0</v>
      </c>
      <c r="F84" s="12">
        <v>14.0</v>
      </c>
      <c r="G84" s="12">
        <v>12.0</v>
      </c>
      <c r="H84" s="12">
        <v>8.2</v>
      </c>
      <c r="I84" s="12">
        <v>58.2</v>
      </c>
      <c r="J84" s="11" t="s">
        <v>51</v>
      </c>
      <c r="K84" s="11" t="s">
        <v>39</v>
      </c>
      <c r="L84" s="17"/>
      <c r="M84" s="11" t="s">
        <v>319</v>
      </c>
    </row>
    <row r="85">
      <c r="A85" s="9">
        <v>45931.28928275463</v>
      </c>
      <c r="B85" s="11" t="s">
        <v>34</v>
      </c>
      <c r="C85" s="11" t="s">
        <v>321</v>
      </c>
      <c r="D85" s="12">
        <v>12.0</v>
      </c>
      <c r="E85" s="12">
        <v>12.0</v>
      </c>
      <c r="F85" s="12">
        <v>25.6</v>
      </c>
      <c r="G85" s="12">
        <v>16.0</v>
      </c>
      <c r="H85" s="12">
        <v>12.0</v>
      </c>
      <c r="I85" s="12">
        <v>77.6</v>
      </c>
      <c r="J85" s="11" t="s">
        <v>51</v>
      </c>
      <c r="K85" s="11" t="s">
        <v>39</v>
      </c>
      <c r="L85" s="17"/>
    </row>
    <row r="86">
      <c r="A86" s="9">
        <v>45931.29087753472</v>
      </c>
      <c r="B86" s="11" t="s">
        <v>34</v>
      </c>
      <c r="C86" s="11" t="s">
        <v>322</v>
      </c>
      <c r="D86" s="12">
        <v>15.0</v>
      </c>
      <c r="E86" s="12">
        <v>13.6</v>
      </c>
      <c r="F86" s="12">
        <v>31.0</v>
      </c>
      <c r="G86" s="12">
        <v>18.8</v>
      </c>
      <c r="H86" s="12">
        <v>12.0</v>
      </c>
      <c r="I86" s="12">
        <v>90.4</v>
      </c>
      <c r="J86" s="11" t="s">
        <v>212</v>
      </c>
      <c r="K86" s="11" t="s">
        <v>212</v>
      </c>
      <c r="L86" s="17"/>
      <c r="M86" s="11" t="s">
        <v>323</v>
      </c>
    </row>
    <row r="87">
      <c r="A87" s="9">
        <v>45931.29150116898</v>
      </c>
      <c r="B87" s="11" t="s">
        <v>34</v>
      </c>
      <c r="C87" s="11" t="s">
        <v>324</v>
      </c>
      <c r="D87" s="12">
        <v>15.0</v>
      </c>
      <c r="E87" s="12">
        <v>15.0</v>
      </c>
      <c r="F87" s="12">
        <v>31.0</v>
      </c>
      <c r="G87" s="12">
        <v>20.0</v>
      </c>
      <c r="H87" s="12">
        <v>13.2</v>
      </c>
      <c r="I87" s="12">
        <v>94.2</v>
      </c>
      <c r="J87" s="11" t="s">
        <v>53</v>
      </c>
      <c r="K87" s="11" t="s">
        <v>39</v>
      </c>
      <c r="L87" s="17"/>
    </row>
    <row r="88">
      <c r="A88" s="9">
        <v>45931.29220490741</v>
      </c>
      <c r="B88" s="11" t="s">
        <v>34</v>
      </c>
      <c r="C88" s="11" t="s">
        <v>325</v>
      </c>
      <c r="D88" s="12">
        <v>11.200000000000001</v>
      </c>
      <c r="E88" s="12">
        <v>9.0</v>
      </c>
      <c r="F88" s="12">
        <v>15.600000000000001</v>
      </c>
      <c r="G88" s="12">
        <v>14.799999999999999</v>
      </c>
      <c r="H88" s="12">
        <v>9.0</v>
      </c>
      <c r="I88" s="12">
        <v>59.6</v>
      </c>
      <c r="J88" s="11" t="s">
        <v>51</v>
      </c>
      <c r="K88" s="11" t="s">
        <v>39</v>
      </c>
      <c r="L88" s="17"/>
      <c r="M88" s="11" t="s">
        <v>329</v>
      </c>
    </row>
    <row r="89">
      <c r="A89" s="9">
        <v>45931.29278094908</v>
      </c>
      <c r="B89" s="11" t="s">
        <v>34</v>
      </c>
      <c r="C89" s="11" t="s">
        <v>174</v>
      </c>
      <c r="D89" s="12">
        <v>12.0</v>
      </c>
      <c r="E89" s="12">
        <v>10.600000000000001</v>
      </c>
      <c r="F89" s="12">
        <v>22.600000000000005</v>
      </c>
      <c r="G89" s="12">
        <v>16.0</v>
      </c>
      <c r="H89" s="12">
        <v>10.2</v>
      </c>
      <c r="I89" s="12">
        <v>71.4</v>
      </c>
      <c r="J89" s="11" t="s">
        <v>38</v>
      </c>
      <c r="K89" s="11" t="s">
        <v>39</v>
      </c>
      <c r="L89" s="17"/>
    </row>
    <row r="90">
      <c r="A90" s="9">
        <v>45931.32657978009</v>
      </c>
      <c r="B90" s="11" t="s">
        <v>34</v>
      </c>
      <c r="C90" s="11" t="s">
        <v>332</v>
      </c>
      <c r="D90" s="12">
        <v>12.0</v>
      </c>
      <c r="E90" s="12">
        <v>9.0</v>
      </c>
      <c r="F90" s="12">
        <v>21.000000000000004</v>
      </c>
      <c r="G90" s="12">
        <v>16.0</v>
      </c>
      <c r="H90" s="12">
        <v>9.0</v>
      </c>
      <c r="I90" s="12">
        <v>67.0</v>
      </c>
      <c r="J90" s="11" t="s">
        <v>51</v>
      </c>
      <c r="K90" s="11" t="s">
        <v>39</v>
      </c>
      <c r="L90" s="17"/>
      <c r="M90" s="11" t="s">
        <v>334</v>
      </c>
    </row>
    <row r="91">
      <c r="L91" s="17"/>
    </row>
    <row r="92">
      <c r="L92" s="17"/>
    </row>
    <row r="93">
      <c r="L93" s="17"/>
    </row>
    <row r="94">
      <c r="L94" s="17"/>
    </row>
    <row r="95">
      <c r="L95" s="17"/>
    </row>
    <row r="96">
      <c r="L96" s="17"/>
    </row>
    <row r="97">
      <c r="L97" s="17"/>
    </row>
    <row r="98">
      <c r="L98" s="17"/>
    </row>
    <row r="99">
      <c r="L99" s="17"/>
    </row>
    <row r="100">
      <c r="L100" s="17"/>
    </row>
    <row r="101">
      <c r="L101" s="17"/>
    </row>
    <row r="102">
      <c r="L102" s="17"/>
    </row>
    <row r="103">
      <c r="L103" s="17"/>
    </row>
    <row r="104">
      <c r="L104" s="17"/>
    </row>
    <row r="105">
      <c r="L105" s="17"/>
    </row>
    <row r="106">
      <c r="L106" s="17"/>
    </row>
    <row r="107">
      <c r="L107" s="17"/>
    </row>
    <row r="108">
      <c r="L108" s="17"/>
    </row>
    <row r="109">
      <c r="L109" s="17"/>
    </row>
    <row r="110">
      <c r="L110" s="17"/>
    </row>
    <row r="111">
      <c r="L111" s="17"/>
    </row>
    <row r="112">
      <c r="L112" s="17"/>
    </row>
    <row r="113">
      <c r="L113" s="17"/>
    </row>
    <row r="114">
      <c r="L114" s="17"/>
    </row>
    <row r="115">
      <c r="L115" s="17"/>
    </row>
    <row r="116">
      <c r="L116" s="17"/>
    </row>
    <row r="117">
      <c r="L117" s="17"/>
    </row>
    <row r="118">
      <c r="L118" s="17"/>
    </row>
    <row r="119">
      <c r="L119" s="17"/>
    </row>
    <row r="120">
      <c r="L120" s="17"/>
    </row>
    <row r="121">
      <c r="L121" s="17"/>
    </row>
    <row r="122">
      <c r="L122" s="17"/>
    </row>
    <row r="123">
      <c r="L123" s="17"/>
    </row>
    <row r="124">
      <c r="L124" s="17"/>
    </row>
    <row r="125">
      <c r="L125" s="17"/>
    </row>
    <row r="126">
      <c r="L126" s="17"/>
    </row>
    <row r="127">
      <c r="L127" s="17"/>
    </row>
    <row r="128">
      <c r="L128" s="17"/>
    </row>
    <row r="129">
      <c r="L129" s="17"/>
    </row>
    <row r="130">
      <c r="L130" s="17"/>
    </row>
    <row r="131">
      <c r="L131" s="17"/>
    </row>
    <row r="132">
      <c r="L132" s="17"/>
    </row>
    <row r="133">
      <c r="L133" s="17"/>
    </row>
    <row r="134">
      <c r="L134" s="17"/>
    </row>
    <row r="135">
      <c r="L135" s="17"/>
    </row>
    <row r="136">
      <c r="L136" s="17"/>
    </row>
    <row r="137">
      <c r="L137" s="17"/>
    </row>
    <row r="138">
      <c r="L138" s="17"/>
    </row>
    <row r="139">
      <c r="L139" s="17"/>
    </row>
    <row r="140">
      <c r="L140" s="17"/>
    </row>
    <row r="141">
      <c r="L141" s="17"/>
    </row>
    <row r="142">
      <c r="L142" s="17"/>
    </row>
    <row r="143">
      <c r="L143" s="17"/>
    </row>
    <row r="144">
      <c r="L144" s="17"/>
    </row>
    <row r="145">
      <c r="L145" s="17"/>
    </row>
    <row r="146">
      <c r="L146" s="17"/>
    </row>
    <row r="147">
      <c r="L147" s="17"/>
    </row>
    <row r="148">
      <c r="L148" s="17"/>
    </row>
    <row r="149">
      <c r="L149" s="17"/>
    </row>
    <row r="150">
      <c r="L150" s="17"/>
    </row>
    <row r="151">
      <c r="L151" s="17"/>
    </row>
    <row r="152">
      <c r="L152" s="17"/>
    </row>
    <row r="153">
      <c r="L153" s="17"/>
    </row>
    <row r="154">
      <c r="L154" s="17"/>
    </row>
    <row r="155">
      <c r="L155" s="17"/>
    </row>
    <row r="156">
      <c r="L156" s="17"/>
    </row>
    <row r="157">
      <c r="L157" s="17"/>
    </row>
    <row r="158">
      <c r="L158" s="17"/>
    </row>
    <row r="159">
      <c r="L159" s="17"/>
    </row>
    <row r="160">
      <c r="L160" s="17"/>
    </row>
    <row r="161">
      <c r="L161" s="17"/>
    </row>
    <row r="162">
      <c r="L162" s="17"/>
    </row>
    <row r="163">
      <c r="L163" s="17"/>
    </row>
    <row r="164">
      <c r="L164" s="17"/>
    </row>
    <row r="165">
      <c r="L165" s="17"/>
    </row>
    <row r="166">
      <c r="L166" s="17"/>
    </row>
    <row r="167">
      <c r="L167" s="17"/>
    </row>
    <row r="168">
      <c r="L168" s="17"/>
    </row>
    <row r="169">
      <c r="L169" s="17"/>
    </row>
    <row r="170">
      <c r="L170" s="17"/>
    </row>
    <row r="171">
      <c r="L171" s="17"/>
    </row>
    <row r="172">
      <c r="L172" s="17"/>
    </row>
    <row r="173">
      <c r="L173" s="17"/>
    </row>
    <row r="174">
      <c r="L174" s="17"/>
    </row>
    <row r="175">
      <c r="L175" s="17"/>
    </row>
    <row r="176">
      <c r="L176" s="17"/>
    </row>
    <row r="177">
      <c r="L177" s="17"/>
    </row>
    <row r="178">
      <c r="L178" s="17"/>
    </row>
    <row r="179">
      <c r="L179" s="17"/>
    </row>
    <row r="180">
      <c r="L180" s="17"/>
    </row>
    <row r="181">
      <c r="L181" s="17"/>
    </row>
    <row r="182">
      <c r="L182" s="17"/>
    </row>
    <row r="183">
      <c r="L183" s="17"/>
    </row>
    <row r="184">
      <c r="L184" s="17"/>
    </row>
    <row r="185">
      <c r="L185" s="17"/>
    </row>
    <row r="186">
      <c r="L186" s="17"/>
    </row>
    <row r="187">
      <c r="L187" s="17"/>
    </row>
    <row r="188">
      <c r="L188" s="17"/>
    </row>
    <row r="189">
      <c r="L189" s="17"/>
    </row>
    <row r="190">
      <c r="L190" s="17"/>
    </row>
    <row r="191">
      <c r="L191" s="17"/>
    </row>
    <row r="192">
      <c r="L192" s="17"/>
    </row>
    <row r="193">
      <c r="L193" s="17"/>
    </row>
    <row r="194">
      <c r="L194" s="17"/>
    </row>
    <row r="195">
      <c r="L195" s="17"/>
    </row>
    <row r="196">
      <c r="L196" s="17"/>
    </row>
    <row r="197">
      <c r="L197" s="17"/>
    </row>
    <row r="198">
      <c r="L198" s="17"/>
    </row>
    <row r="199">
      <c r="L199" s="17"/>
    </row>
    <row r="200">
      <c r="L200" s="17"/>
    </row>
    <row r="201">
      <c r="L201" s="17"/>
    </row>
    <row r="202">
      <c r="L202" s="17"/>
    </row>
    <row r="203">
      <c r="L203" s="17"/>
    </row>
    <row r="204">
      <c r="L204" s="17"/>
    </row>
    <row r="205">
      <c r="L205" s="17"/>
    </row>
    <row r="206">
      <c r="L206" s="17"/>
    </row>
    <row r="207">
      <c r="L207" s="17"/>
    </row>
    <row r="208">
      <c r="L208" s="17"/>
    </row>
    <row r="209">
      <c r="L209" s="17"/>
    </row>
    <row r="210">
      <c r="L210" s="17"/>
    </row>
    <row r="211">
      <c r="L211" s="17"/>
    </row>
    <row r="212">
      <c r="L212" s="17"/>
    </row>
    <row r="213">
      <c r="L213" s="17"/>
    </row>
    <row r="214">
      <c r="L214" s="17"/>
    </row>
    <row r="215">
      <c r="L215" s="17"/>
    </row>
    <row r="216">
      <c r="L216" s="17"/>
    </row>
    <row r="217">
      <c r="L217" s="17"/>
    </row>
    <row r="218">
      <c r="L218" s="17"/>
    </row>
    <row r="219">
      <c r="L219" s="17"/>
    </row>
    <row r="220">
      <c r="L220" s="17"/>
    </row>
    <row r="221">
      <c r="L221" s="17"/>
    </row>
    <row r="222">
      <c r="L222" s="17"/>
    </row>
    <row r="223">
      <c r="L223" s="17"/>
    </row>
    <row r="224">
      <c r="L224" s="17"/>
    </row>
    <row r="225">
      <c r="L225" s="17"/>
    </row>
    <row r="226">
      <c r="L226" s="17"/>
    </row>
    <row r="227">
      <c r="L227" s="17"/>
    </row>
    <row r="228">
      <c r="L228" s="17"/>
    </row>
    <row r="229">
      <c r="L229" s="17"/>
    </row>
    <row r="230">
      <c r="L230" s="17"/>
    </row>
    <row r="231">
      <c r="L231" s="17"/>
    </row>
    <row r="232">
      <c r="L232" s="17"/>
    </row>
    <row r="233">
      <c r="L233" s="17"/>
    </row>
    <row r="234">
      <c r="L234" s="17"/>
    </row>
    <row r="235">
      <c r="L235" s="17"/>
    </row>
    <row r="236">
      <c r="L236" s="17"/>
    </row>
    <row r="237">
      <c r="L237" s="17"/>
    </row>
    <row r="238">
      <c r="L238" s="17"/>
    </row>
    <row r="239">
      <c r="L239" s="17"/>
    </row>
    <row r="240">
      <c r="L240" s="17"/>
    </row>
    <row r="241">
      <c r="L241" s="17"/>
    </row>
    <row r="242">
      <c r="L242" s="17"/>
    </row>
    <row r="243">
      <c r="L243" s="17"/>
    </row>
    <row r="244">
      <c r="L244" s="17"/>
    </row>
    <row r="245">
      <c r="L245" s="17"/>
    </row>
    <row r="246">
      <c r="L246" s="17"/>
    </row>
    <row r="247">
      <c r="L247" s="17"/>
    </row>
    <row r="248">
      <c r="L248" s="17"/>
    </row>
    <row r="249">
      <c r="L249" s="17"/>
    </row>
    <row r="250">
      <c r="L250" s="17"/>
    </row>
    <row r="251">
      <c r="L251" s="17"/>
    </row>
    <row r="252">
      <c r="L252" s="17"/>
    </row>
    <row r="253">
      <c r="L253" s="17"/>
    </row>
    <row r="254">
      <c r="L254" s="17"/>
    </row>
    <row r="255">
      <c r="L255" s="17"/>
    </row>
    <row r="256">
      <c r="L256" s="17"/>
    </row>
    <row r="257">
      <c r="L257" s="17"/>
    </row>
    <row r="258">
      <c r="L258" s="17"/>
    </row>
    <row r="259">
      <c r="L259" s="17"/>
    </row>
    <row r="260">
      <c r="L260" s="17"/>
    </row>
    <row r="261">
      <c r="L261" s="17"/>
    </row>
    <row r="262">
      <c r="L262" s="17"/>
    </row>
    <row r="263">
      <c r="L263" s="17"/>
    </row>
    <row r="264">
      <c r="L264" s="17"/>
    </row>
    <row r="265">
      <c r="L265" s="17"/>
    </row>
    <row r="266">
      <c r="L266" s="17"/>
    </row>
    <row r="267">
      <c r="L267" s="17"/>
    </row>
    <row r="268">
      <c r="L268" s="17"/>
    </row>
    <row r="269">
      <c r="L269" s="17"/>
    </row>
    <row r="270">
      <c r="L270" s="17"/>
    </row>
    <row r="271">
      <c r="L271" s="17"/>
    </row>
    <row r="272">
      <c r="L272" s="17"/>
    </row>
    <row r="273">
      <c r="L273" s="17"/>
    </row>
    <row r="274">
      <c r="L274" s="17"/>
    </row>
    <row r="275">
      <c r="L275" s="17"/>
    </row>
    <row r="276">
      <c r="L276" s="17"/>
    </row>
    <row r="277">
      <c r="L277" s="17"/>
    </row>
    <row r="278">
      <c r="L278" s="17"/>
    </row>
    <row r="279">
      <c r="L279" s="17"/>
    </row>
    <row r="280">
      <c r="L280" s="17"/>
    </row>
    <row r="281">
      <c r="L281" s="17"/>
    </row>
    <row r="282">
      <c r="L282" s="17"/>
    </row>
    <row r="283">
      <c r="L283" s="17"/>
    </row>
    <row r="284">
      <c r="L284" s="17"/>
    </row>
    <row r="285">
      <c r="L285" s="17"/>
    </row>
    <row r="286">
      <c r="L286" s="17"/>
    </row>
    <row r="287">
      <c r="L287" s="17"/>
    </row>
    <row r="288">
      <c r="L288" s="17"/>
    </row>
    <row r="289">
      <c r="L289" s="17"/>
    </row>
    <row r="290">
      <c r="L290" s="17"/>
    </row>
    <row r="291">
      <c r="L291" s="17"/>
    </row>
    <row r="292">
      <c r="L292" s="17"/>
    </row>
    <row r="293">
      <c r="L293" s="17"/>
    </row>
    <row r="294">
      <c r="L294" s="17"/>
    </row>
    <row r="295">
      <c r="L295" s="17"/>
    </row>
    <row r="296">
      <c r="L296" s="17"/>
    </row>
    <row r="297">
      <c r="L297" s="17"/>
    </row>
    <row r="298">
      <c r="L298" s="17"/>
    </row>
    <row r="299">
      <c r="L299" s="17"/>
    </row>
    <row r="300">
      <c r="L300" s="17"/>
    </row>
    <row r="301">
      <c r="L301" s="17"/>
    </row>
    <row r="302">
      <c r="L302" s="17"/>
    </row>
    <row r="303">
      <c r="L303" s="17"/>
    </row>
    <row r="304">
      <c r="L304" s="17"/>
    </row>
    <row r="305">
      <c r="L305" s="17"/>
    </row>
    <row r="306">
      <c r="L306" s="17"/>
    </row>
    <row r="307">
      <c r="L307" s="17"/>
    </row>
    <row r="308">
      <c r="L308" s="17"/>
    </row>
    <row r="309">
      <c r="L309" s="17"/>
    </row>
    <row r="310">
      <c r="L310" s="17"/>
    </row>
    <row r="311">
      <c r="L311" s="17"/>
    </row>
    <row r="312">
      <c r="L312" s="17"/>
    </row>
    <row r="313">
      <c r="L313" s="17"/>
    </row>
    <row r="314">
      <c r="L314" s="17"/>
    </row>
    <row r="315">
      <c r="L315" s="17"/>
    </row>
    <row r="316">
      <c r="L316" s="17"/>
    </row>
    <row r="317">
      <c r="L317" s="17"/>
    </row>
    <row r="318">
      <c r="L318" s="17"/>
    </row>
    <row r="319">
      <c r="L319" s="17"/>
    </row>
    <row r="320">
      <c r="L320" s="17"/>
    </row>
    <row r="321">
      <c r="L321" s="17"/>
    </row>
    <row r="322">
      <c r="L322" s="17"/>
    </row>
    <row r="323">
      <c r="L323" s="17"/>
    </row>
    <row r="324">
      <c r="L324" s="17"/>
    </row>
    <row r="325">
      <c r="L325" s="17"/>
    </row>
    <row r="326">
      <c r="L326" s="17"/>
    </row>
    <row r="327">
      <c r="L327" s="17"/>
    </row>
    <row r="328">
      <c r="L328" s="17"/>
    </row>
    <row r="329">
      <c r="L329" s="17"/>
    </row>
    <row r="330">
      <c r="L330" s="17"/>
    </row>
    <row r="331">
      <c r="L331" s="17"/>
    </row>
    <row r="332">
      <c r="L332" s="17"/>
    </row>
    <row r="333">
      <c r="L333" s="17"/>
    </row>
    <row r="334">
      <c r="L334" s="17"/>
    </row>
    <row r="335">
      <c r="L335" s="17"/>
    </row>
    <row r="336">
      <c r="L336" s="17"/>
    </row>
    <row r="337">
      <c r="L337" s="17"/>
    </row>
    <row r="338">
      <c r="L338" s="17"/>
    </row>
    <row r="339">
      <c r="L339" s="17"/>
    </row>
    <row r="340">
      <c r="L340" s="17"/>
    </row>
    <row r="341">
      <c r="L341" s="17"/>
    </row>
    <row r="342">
      <c r="L342" s="17"/>
    </row>
    <row r="343">
      <c r="L343" s="17"/>
    </row>
    <row r="344">
      <c r="L344" s="17"/>
    </row>
    <row r="345">
      <c r="L345" s="17"/>
    </row>
    <row r="346">
      <c r="L346" s="17"/>
    </row>
    <row r="347">
      <c r="L347" s="17"/>
    </row>
    <row r="348">
      <c r="L348" s="17"/>
    </row>
    <row r="349">
      <c r="L349" s="17"/>
    </row>
    <row r="350">
      <c r="L350" s="17"/>
    </row>
    <row r="351">
      <c r="L351" s="17"/>
    </row>
    <row r="352">
      <c r="L352" s="17"/>
    </row>
    <row r="353">
      <c r="L353" s="17"/>
    </row>
    <row r="354">
      <c r="L354" s="17"/>
    </row>
    <row r="355">
      <c r="L355" s="17"/>
    </row>
    <row r="356">
      <c r="L356" s="17"/>
    </row>
    <row r="357">
      <c r="L357" s="17"/>
    </row>
    <row r="358">
      <c r="L358" s="17"/>
    </row>
    <row r="359">
      <c r="L359" s="17"/>
    </row>
    <row r="360">
      <c r="L360" s="17"/>
    </row>
    <row r="361">
      <c r="L361" s="17"/>
    </row>
    <row r="362">
      <c r="L362" s="17"/>
    </row>
    <row r="363">
      <c r="L363" s="17"/>
    </row>
    <row r="364">
      <c r="L364" s="17"/>
    </row>
    <row r="365">
      <c r="L365" s="17"/>
    </row>
    <row r="366">
      <c r="L366" s="17"/>
    </row>
    <row r="367">
      <c r="L367" s="17"/>
    </row>
    <row r="368">
      <c r="L368" s="17"/>
    </row>
    <row r="369">
      <c r="L369" s="17"/>
    </row>
    <row r="370">
      <c r="L370" s="17"/>
    </row>
    <row r="371">
      <c r="L371" s="17"/>
    </row>
    <row r="372">
      <c r="L372" s="17"/>
    </row>
    <row r="373">
      <c r="L373" s="17"/>
    </row>
    <row r="374">
      <c r="L374" s="17"/>
    </row>
    <row r="375">
      <c r="L375" s="17"/>
    </row>
    <row r="376">
      <c r="L376" s="17"/>
    </row>
    <row r="377">
      <c r="L377" s="17"/>
    </row>
    <row r="378">
      <c r="L378" s="17"/>
    </row>
    <row r="379">
      <c r="L379" s="17"/>
    </row>
    <row r="380">
      <c r="L380" s="17"/>
    </row>
    <row r="381">
      <c r="L381" s="17"/>
    </row>
    <row r="382">
      <c r="L382" s="17"/>
    </row>
    <row r="383">
      <c r="L383" s="17"/>
    </row>
    <row r="384">
      <c r="L384" s="17"/>
    </row>
    <row r="385">
      <c r="L385" s="17"/>
    </row>
    <row r="386">
      <c r="L386" s="17"/>
    </row>
    <row r="387">
      <c r="L387" s="17"/>
    </row>
    <row r="388">
      <c r="L388" s="17"/>
    </row>
    <row r="389">
      <c r="L389" s="17"/>
    </row>
    <row r="390">
      <c r="L390" s="17"/>
    </row>
    <row r="391">
      <c r="L391" s="17"/>
    </row>
    <row r="392">
      <c r="L392" s="17"/>
    </row>
    <row r="393">
      <c r="L393" s="17"/>
    </row>
    <row r="394">
      <c r="L394" s="17"/>
    </row>
    <row r="395">
      <c r="L395" s="17"/>
    </row>
    <row r="396">
      <c r="L396" s="17"/>
    </row>
    <row r="397">
      <c r="L397" s="17"/>
    </row>
    <row r="398">
      <c r="L398" s="17"/>
    </row>
    <row r="399">
      <c r="L399" s="17"/>
    </row>
    <row r="400">
      <c r="L400" s="17"/>
    </row>
    <row r="401">
      <c r="L401" s="17"/>
    </row>
    <row r="402">
      <c r="L402" s="17"/>
    </row>
    <row r="403">
      <c r="L403" s="17"/>
    </row>
    <row r="404">
      <c r="L404" s="17"/>
    </row>
    <row r="405">
      <c r="L405" s="17"/>
    </row>
    <row r="406">
      <c r="L406" s="17"/>
    </row>
    <row r="407">
      <c r="L407" s="17"/>
    </row>
    <row r="408">
      <c r="L408" s="17"/>
    </row>
    <row r="409">
      <c r="L409" s="17"/>
    </row>
    <row r="410">
      <c r="L410" s="17"/>
    </row>
    <row r="411">
      <c r="L411" s="17"/>
    </row>
    <row r="412">
      <c r="L412" s="17"/>
    </row>
    <row r="413">
      <c r="L413" s="17"/>
    </row>
    <row r="414">
      <c r="L414" s="17"/>
    </row>
    <row r="415">
      <c r="L415" s="17"/>
    </row>
    <row r="416">
      <c r="L416" s="17"/>
    </row>
    <row r="417">
      <c r="L417" s="17"/>
    </row>
    <row r="418">
      <c r="L418" s="17"/>
    </row>
    <row r="419">
      <c r="L419" s="17"/>
    </row>
    <row r="420">
      <c r="L420" s="17"/>
    </row>
    <row r="421">
      <c r="L421" s="17"/>
    </row>
    <row r="422">
      <c r="L422" s="17"/>
    </row>
    <row r="423">
      <c r="L423" s="17"/>
    </row>
    <row r="424">
      <c r="L424" s="17"/>
    </row>
    <row r="425">
      <c r="L425" s="17"/>
    </row>
    <row r="426">
      <c r="L426" s="17"/>
    </row>
    <row r="427">
      <c r="L427" s="17"/>
    </row>
    <row r="428">
      <c r="L428" s="17"/>
    </row>
    <row r="429">
      <c r="L429" s="17"/>
    </row>
    <row r="430">
      <c r="L430" s="17"/>
    </row>
    <row r="431">
      <c r="L431" s="17"/>
    </row>
    <row r="432">
      <c r="L432" s="17"/>
    </row>
    <row r="433">
      <c r="L433" s="17"/>
    </row>
    <row r="434">
      <c r="L434" s="17"/>
    </row>
    <row r="435">
      <c r="L435" s="17"/>
    </row>
    <row r="436">
      <c r="L436" s="17"/>
    </row>
    <row r="437">
      <c r="L437" s="17"/>
    </row>
    <row r="438">
      <c r="L438" s="17"/>
    </row>
    <row r="439">
      <c r="L439" s="17"/>
    </row>
    <row r="440">
      <c r="L440" s="17"/>
    </row>
    <row r="441">
      <c r="L441" s="17"/>
    </row>
    <row r="442">
      <c r="L442" s="17"/>
    </row>
    <row r="443">
      <c r="L443" s="17"/>
    </row>
    <row r="444">
      <c r="L444" s="17"/>
    </row>
    <row r="445">
      <c r="L445" s="17"/>
    </row>
    <row r="446">
      <c r="L446" s="17"/>
    </row>
    <row r="447">
      <c r="L447" s="17"/>
    </row>
    <row r="448">
      <c r="L448" s="17"/>
    </row>
    <row r="449">
      <c r="L449" s="17"/>
    </row>
    <row r="450">
      <c r="L450" s="17"/>
    </row>
    <row r="451">
      <c r="L451" s="17"/>
    </row>
    <row r="452">
      <c r="L452" s="17"/>
    </row>
    <row r="453">
      <c r="L453" s="17"/>
    </row>
    <row r="454">
      <c r="L454" s="17"/>
    </row>
    <row r="455">
      <c r="L455" s="17"/>
    </row>
    <row r="456">
      <c r="L456" s="17"/>
    </row>
    <row r="457">
      <c r="L457" s="17"/>
    </row>
    <row r="458">
      <c r="L458" s="17"/>
    </row>
    <row r="459">
      <c r="L459" s="17"/>
    </row>
    <row r="460">
      <c r="L460" s="17"/>
    </row>
    <row r="461">
      <c r="L461" s="17"/>
    </row>
    <row r="462">
      <c r="L462" s="17"/>
    </row>
    <row r="463">
      <c r="L463" s="17"/>
    </row>
    <row r="464">
      <c r="L464" s="17"/>
    </row>
    <row r="465">
      <c r="L465" s="17"/>
    </row>
    <row r="466">
      <c r="L466" s="17"/>
    </row>
    <row r="467">
      <c r="L467" s="17"/>
    </row>
    <row r="468">
      <c r="L468" s="17"/>
    </row>
    <row r="469">
      <c r="L469" s="17"/>
    </row>
    <row r="470">
      <c r="L470" s="17"/>
    </row>
    <row r="471">
      <c r="L471" s="17"/>
    </row>
    <row r="472">
      <c r="L472" s="17"/>
    </row>
    <row r="473">
      <c r="L473" s="17"/>
    </row>
    <row r="474">
      <c r="L474" s="17"/>
    </row>
    <row r="475">
      <c r="L475" s="17"/>
    </row>
    <row r="476">
      <c r="L476" s="17"/>
    </row>
    <row r="477">
      <c r="L477" s="17"/>
    </row>
    <row r="478">
      <c r="L478" s="17"/>
    </row>
    <row r="479">
      <c r="L479" s="17"/>
    </row>
    <row r="480">
      <c r="L480" s="17"/>
    </row>
    <row r="481">
      <c r="L481" s="17"/>
    </row>
    <row r="482">
      <c r="L482" s="17"/>
    </row>
    <row r="483">
      <c r="L483" s="17"/>
    </row>
    <row r="484">
      <c r="L484" s="17"/>
    </row>
    <row r="485">
      <c r="L485" s="17"/>
    </row>
    <row r="486">
      <c r="L486" s="17"/>
    </row>
    <row r="487">
      <c r="L487" s="17"/>
    </row>
    <row r="488">
      <c r="L488" s="17"/>
    </row>
    <row r="489">
      <c r="L489" s="17"/>
    </row>
    <row r="490">
      <c r="L490" s="17"/>
    </row>
    <row r="491">
      <c r="L491" s="17"/>
    </row>
    <row r="492">
      <c r="L492" s="17"/>
    </row>
    <row r="493">
      <c r="L493" s="17"/>
    </row>
    <row r="494">
      <c r="L494" s="17"/>
    </row>
    <row r="495">
      <c r="L495" s="17"/>
    </row>
    <row r="496">
      <c r="L496" s="17"/>
    </row>
    <row r="497">
      <c r="L497" s="17"/>
    </row>
    <row r="498">
      <c r="L498" s="17"/>
    </row>
    <row r="499">
      <c r="L499" s="17"/>
    </row>
    <row r="500">
      <c r="L500" s="17"/>
    </row>
    <row r="501">
      <c r="L501" s="17"/>
    </row>
    <row r="502">
      <c r="L502" s="17"/>
    </row>
    <row r="503">
      <c r="L503" s="17"/>
    </row>
    <row r="504">
      <c r="L504" s="17"/>
    </row>
    <row r="505">
      <c r="L505" s="17"/>
    </row>
    <row r="506">
      <c r="L506" s="17"/>
    </row>
    <row r="507">
      <c r="L507" s="17"/>
    </row>
    <row r="508">
      <c r="L508" s="17"/>
    </row>
    <row r="509">
      <c r="L509" s="17"/>
    </row>
    <row r="510">
      <c r="L510" s="17"/>
    </row>
    <row r="511">
      <c r="L511" s="17"/>
    </row>
    <row r="512">
      <c r="L512" s="17"/>
    </row>
    <row r="513">
      <c r="L513" s="17"/>
    </row>
    <row r="514">
      <c r="L514" s="17"/>
    </row>
    <row r="515">
      <c r="L515" s="17"/>
    </row>
    <row r="516">
      <c r="L516" s="17"/>
    </row>
    <row r="517">
      <c r="L517" s="17"/>
    </row>
    <row r="518">
      <c r="L518" s="17"/>
    </row>
    <row r="519">
      <c r="L519" s="17"/>
    </row>
    <row r="520">
      <c r="L520" s="17"/>
    </row>
    <row r="521">
      <c r="L521" s="17"/>
    </row>
    <row r="522">
      <c r="L522" s="17"/>
    </row>
    <row r="523">
      <c r="L523" s="17"/>
    </row>
    <row r="524">
      <c r="L524" s="17"/>
    </row>
    <row r="525">
      <c r="L525" s="17"/>
    </row>
    <row r="526">
      <c r="L526" s="17"/>
    </row>
    <row r="527">
      <c r="L527" s="17"/>
    </row>
    <row r="528">
      <c r="L528" s="17"/>
    </row>
    <row r="529">
      <c r="L529" s="17"/>
    </row>
    <row r="530">
      <c r="L530" s="17"/>
    </row>
    <row r="531">
      <c r="L531" s="17"/>
    </row>
    <row r="532">
      <c r="L532" s="17"/>
    </row>
    <row r="533">
      <c r="L533" s="17"/>
    </row>
    <row r="534">
      <c r="L534" s="17"/>
    </row>
    <row r="535">
      <c r="L535" s="17"/>
    </row>
    <row r="536">
      <c r="L536" s="17"/>
    </row>
    <row r="537">
      <c r="L537" s="17"/>
    </row>
    <row r="538">
      <c r="L538" s="17"/>
    </row>
    <row r="539">
      <c r="L539" s="17"/>
    </row>
    <row r="540">
      <c r="L540" s="17"/>
    </row>
    <row r="541">
      <c r="L541" s="17"/>
    </row>
    <row r="542">
      <c r="L542" s="17"/>
    </row>
    <row r="543">
      <c r="L543" s="17"/>
    </row>
    <row r="544">
      <c r="L544" s="17"/>
    </row>
    <row r="545">
      <c r="L545" s="17"/>
    </row>
    <row r="546">
      <c r="L546" s="17"/>
    </row>
    <row r="547">
      <c r="L547" s="17"/>
    </row>
    <row r="548">
      <c r="L548" s="17"/>
    </row>
    <row r="549">
      <c r="L549" s="17"/>
    </row>
    <row r="550">
      <c r="L550" s="17"/>
    </row>
    <row r="551">
      <c r="L551" s="17"/>
    </row>
    <row r="552">
      <c r="L552" s="17"/>
    </row>
    <row r="553">
      <c r="L553" s="17"/>
    </row>
    <row r="554">
      <c r="L554" s="17"/>
    </row>
    <row r="555">
      <c r="L555" s="17"/>
    </row>
    <row r="556">
      <c r="L556" s="17"/>
    </row>
    <row r="557">
      <c r="L557" s="17"/>
    </row>
    <row r="558">
      <c r="L558" s="17"/>
    </row>
    <row r="559">
      <c r="L559" s="17"/>
    </row>
    <row r="560">
      <c r="L560" s="17"/>
    </row>
    <row r="561">
      <c r="L561" s="17"/>
    </row>
    <row r="562">
      <c r="L562" s="17"/>
    </row>
    <row r="563">
      <c r="L563" s="17"/>
    </row>
    <row r="564">
      <c r="L564" s="17"/>
    </row>
    <row r="565">
      <c r="L565" s="17"/>
    </row>
    <row r="566">
      <c r="L566" s="17"/>
    </row>
    <row r="567">
      <c r="L567" s="17"/>
    </row>
    <row r="568">
      <c r="L568" s="17"/>
    </row>
    <row r="569">
      <c r="L569" s="17"/>
    </row>
    <row r="570">
      <c r="L570" s="17"/>
    </row>
    <row r="571">
      <c r="L571" s="17"/>
    </row>
    <row r="572">
      <c r="L572" s="17"/>
    </row>
    <row r="573">
      <c r="L573" s="17"/>
    </row>
    <row r="574">
      <c r="L574" s="17"/>
    </row>
    <row r="575">
      <c r="L575" s="17"/>
    </row>
    <row r="576">
      <c r="L576" s="17"/>
    </row>
    <row r="577">
      <c r="L577" s="17"/>
    </row>
    <row r="578">
      <c r="L578" s="17"/>
    </row>
    <row r="579">
      <c r="L579" s="17"/>
    </row>
    <row r="580">
      <c r="L580" s="17"/>
    </row>
    <row r="581">
      <c r="L581" s="17"/>
    </row>
    <row r="582">
      <c r="L582" s="17"/>
    </row>
    <row r="583">
      <c r="L583" s="17"/>
    </row>
    <row r="584">
      <c r="L584" s="17"/>
    </row>
    <row r="585">
      <c r="L585" s="17"/>
    </row>
    <row r="586">
      <c r="L586" s="17"/>
    </row>
    <row r="587">
      <c r="L587" s="17"/>
    </row>
    <row r="588">
      <c r="L588" s="17"/>
    </row>
    <row r="589">
      <c r="L589" s="17"/>
    </row>
    <row r="590">
      <c r="L590" s="17"/>
    </row>
    <row r="591">
      <c r="L591" s="17"/>
    </row>
    <row r="592">
      <c r="L592" s="17"/>
    </row>
    <row r="593">
      <c r="L593" s="17"/>
    </row>
    <row r="594">
      <c r="L594" s="17"/>
    </row>
    <row r="595">
      <c r="L595" s="17"/>
    </row>
    <row r="596">
      <c r="L596" s="17"/>
    </row>
    <row r="597">
      <c r="L597" s="17"/>
    </row>
    <row r="598">
      <c r="L598" s="17"/>
    </row>
    <row r="599">
      <c r="L599" s="17"/>
    </row>
    <row r="600">
      <c r="L600" s="17"/>
    </row>
    <row r="601">
      <c r="L601" s="17"/>
    </row>
    <row r="602">
      <c r="L602" s="17"/>
    </row>
    <row r="603">
      <c r="L603" s="17"/>
    </row>
    <row r="604">
      <c r="L604" s="17"/>
    </row>
    <row r="605">
      <c r="L605" s="17"/>
    </row>
    <row r="606">
      <c r="L606" s="17"/>
    </row>
    <row r="607">
      <c r="L607" s="17"/>
    </row>
    <row r="608">
      <c r="L608" s="17"/>
    </row>
    <row r="609">
      <c r="L609" s="17"/>
    </row>
    <row r="610">
      <c r="L610" s="17"/>
    </row>
    <row r="611">
      <c r="L611" s="17"/>
    </row>
    <row r="612">
      <c r="L612" s="17"/>
    </row>
    <row r="613">
      <c r="L613" s="17"/>
    </row>
    <row r="614">
      <c r="L614" s="17"/>
    </row>
    <row r="615">
      <c r="L615" s="17"/>
    </row>
    <row r="616">
      <c r="L616" s="17"/>
    </row>
    <row r="617">
      <c r="L617" s="17"/>
    </row>
    <row r="618">
      <c r="L618" s="17"/>
    </row>
    <row r="619">
      <c r="L619" s="17"/>
    </row>
    <row r="620">
      <c r="L620" s="17"/>
    </row>
    <row r="621">
      <c r="L621" s="17"/>
    </row>
    <row r="622">
      <c r="L622" s="17"/>
    </row>
    <row r="623">
      <c r="L623" s="17"/>
    </row>
    <row r="624">
      <c r="L624" s="17"/>
    </row>
    <row r="625">
      <c r="L625" s="17"/>
    </row>
    <row r="626">
      <c r="L626" s="17"/>
    </row>
    <row r="627">
      <c r="L627" s="17"/>
    </row>
    <row r="628">
      <c r="L628" s="17"/>
    </row>
    <row r="629">
      <c r="L629" s="17"/>
    </row>
    <row r="630">
      <c r="L630" s="17"/>
    </row>
    <row r="631">
      <c r="L631" s="17"/>
    </row>
    <row r="632">
      <c r="L632" s="17"/>
    </row>
    <row r="633">
      <c r="L633" s="17"/>
    </row>
    <row r="634">
      <c r="L634" s="17"/>
    </row>
    <row r="635">
      <c r="L635" s="17"/>
    </row>
    <row r="636">
      <c r="L636" s="17"/>
    </row>
    <row r="637">
      <c r="L637" s="17"/>
    </row>
    <row r="638">
      <c r="L638" s="17"/>
    </row>
    <row r="639">
      <c r="L639" s="17"/>
    </row>
    <row r="640">
      <c r="L640" s="17"/>
    </row>
    <row r="641">
      <c r="L641" s="17"/>
    </row>
    <row r="642">
      <c r="L642" s="17"/>
    </row>
    <row r="643">
      <c r="L643" s="17"/>
    </row>
    <row r="644">
      <c r="L644" s="17"/>
    </row>
    <row r="645">
      <c r="L645" s="17"/>
    </row>
    <row r="646">
      <c r="L646" s="17"/>
    </row>
    <row r="647">
      <c r="L647" s="17"/>
    </row>
    <row r="648">
      <c r="L648" s="17"/>
    </row>
    <row r="649">
      <c r="L649" s="17"/>
    </row>
    <row r="650">
      <c r="L650" s="17"/>
    </row>
    <row r="651">
      <c r="L651" s="17"/>
    </row>
    <row r="652">
      <c r="L652" s="17"/>
    </row>
    <row r="653">
      <c r="L653" s="17"/>
    </row>
    <row r="654">
      <c r="L654" s="17"/>
    </row>
    <row r="655">
      <c r="L655" s="17"/>
    </row>
    <row r="656">
      <c r="L656" s="17"/>
    </row>
    <row r="657">
      <c r="L657" s="17"/>
    </row>
    <row r="658">
      <c r="L658" s="17"/>
    </row>
    <row r="659">
      <c r="L659" s="17"/>
    </row>
    <row r="660">
      <c r="L660" s="17"/>
    </row>
    <row r="661">
      <c r="L661" s="17"/>
    </row>
    <row r="662">
      <c r="L662" s="17"/>
    </row>
    <row r="663">
      <c r="L663" s="17"/>
    </row>
    <row r="664">
      <c r="L664" s="17"/>
    </row>
    <row r="665">
      <c r="L665" s="17"/>
    </row>
    <row r="666">
      <c r="L666" s="17"/>
    </row>
    <row r="667">
      <c r="L667" s="17"/>
    </row>
    <row r="668">
      <c r="L668" s="17"/>
    </row>
    <row r="669">
      <c r="L669" s="17"/>
    </row>
    <row r="670">
      <c r="L670" s="17"/>
    </row>
    <row r="671">
      <c r="L671" s="17"/>
    </row>
    <row r="672">
      <c r="L672" s="17"/>
    </row>
    <row r="673">
      <c r="L673" s="17"/>
    </row>
    <row r="674">
      <c r="L674" s="17"/>
    </row>
    <row r="675">
      <c r="L675" s="17"/>
    </row>
    <row r="676">
      <c r="L676" s="17"/>
    </row>
    <row r="677">
      <c r="L677" s="17"/>
    </row>
    <row r="678">
      <c r="L678" s="17"/>
    </row>
    <row r="679">
      <c r="L679" s="17"/>
    </row>
    <row r="680">
      <c r="L680" s="17"/>
    </row>
    <row r="681">
      <c r="L681" s="17"/>
    </row>
    <row r="682">
      <c r="L682" s="17"/>
    </row>
    <row r="683">
      <c r="L683" s="17"/>
    </row>
    <row r="684">
      <c r="L684" s="17"/>
    </row>
    <row r="685">
      <c r="L685" s="17"/>
    </row>
    <row r="686">
      <c r="L686" s="17"/>
    </row>
    <row r="687">
      <c r="L687" s="17"/>
    </row>
    <row r="688">
      <c r="L688" s="17"/>
    </row>
    <row r="689">
      <c r="L689" s="17"/>
    </row>
    <row r="690">
      <c r="L690" s="17"/>
    </row>
    <row r="691">
      <c r="L691" s="17"/>
    </row>
    <row r="692">
      <c r="L692" s="17"/>
    </row>
    <row r="693">
      <c r="L693" s="17"/>
    </row>
    <row r="694">
      <c r="L694" s="17"/>
    </row>
    <row r="695">
      <c r="L695" s="17"/>
    </row>
    <row r="696">
      <c r="L696" s="17"/>
    </row>
    <row r="697">
      <c r="L697" s="17"/>
    </row>
    <row r="698">
      <c r="L698" s="17"/>
    </row>
    <row r="699">
      <c r="L699" s="17"/>
    </row>
    <row r="700">
      <c r="L700" s="17"/>
    </row>
    <row r="701">
      <c r="L701" s="17"/>
    </row>
    <row r="702">
      <c r="L702" s="17"/>
    </row>
    <row r="703">
      <c r="L703" s="17"/>
    </row>
    <row r="704">
      <c r="L704" s="17"/>
    </row>
    <row r="705">
      <c r="L705" s="17"/>
    </row>
    <row r="706">
      <c r="L706" s="17"/>
    </row>
    <row r="707">
      <c r="L707" s="17"/>
    </row>
    <row r="708">
      <c r="L708" s="17"/>
    </row>
    <row r="709">
      <c r="L709" s="17"/>
    </row>
    <row r="710">
      <c r="L710" s="17"/>
    </row>
    <row r="711">
      <c r="L711" s="17"/>
    </row>
    <row r="712">
      <c r="L712" s="17"/>
    </row>
    <row r="713">
      <c r="L713" s="17"/>
    </row>
    <row r="714">
      <c r="L714" s="17"/>
    </row>
    <row r="715">
      <c r="L715" s="17"/>
    </row>
    <row r="716">
      <c r="L716" s="17"/>
    </row>
    <row r="717">
      <c r="L717" s="17"/>
    </row>
    <row r="718">
      <c r="L718" s="17"/>
    </row>
    <row r="719">
      <c r="L719" s="17"/>
    </row>
    <row r="720">
      <c r="L720" s="17"/>
    </row>
    <row r="721">
      <c r="L721" s="17"/>
    </row>
    <row r="722">
      <c r="L722" s="17"/>
    </row>
    <row r="723">
      <c r="L723" s="17"/>
    </row>
    <row r="724">
      <c r="L724" s="17"/>
    </row>
    <row r="725">
      <c r="L725" s="17"/>
    </row>
    <row r="726">
      <c r="L726" s="17"/>
    </row>
    <row r="727">
      <c r="L727" s="17"/>
    </row>
    <row r="728">
      <c r="L728" s="17"/>
    </row>
    <row r="729">
      <c r="L729" s="17"/>
    </row>
    <row r="730">
      <c r="L730" s="17"/>
    </row>
    <row r="731">
      <c r="L731" s="17"/>
    </row>
    <row r="732">
      <c r="L732" s="17"/>
    </row>
    <row r="733">
      <c r="L733" s="17"/>
    </row>
    <row r="734">
      <c r="L734" s="17"/>
    </row>
    <row r="735">
      <c r="L735" s="17"/>
    </row>
    <row r="736">
      <c r="L736" s="17"/>
    </row>
    <row r="737">
      <c r="L737" s="17"/>
    </row>
    <row r="738">
      <c r="L738" s="17"/>
    </row>
    <row r="739">
      <c r="L739" s="17"/>
    </row>
    <row r="740">
      <c r="L740" s="17"/>
    </row>
    <row r="741">
      <c r="L741" s="17"/>
    </row>
    <row r="742">
      <c r="L742" s="17"/>
    </row>
    <row r="743">
      <c r="L743" s="17"/>
    </row>
    <row r="744">
      <c r="L744" s="17"/>
    </row>
    <row r="745">
      <c r="L745" s="17"/>
    </row>
    <row r="746">
      <c r="L746" s="17"/>
    </row>
    <row r="747">
      <c r="L747" s="17"/>
    </row>
    <row r="748">
      <c r="L748" s="17"/>
    </row>
    <row r="749">
      <c r="L749" s="17"/>
    </row>
    <row r="750">
      <c r="L750" s="17"/>
    </row>
    <row r="751">
      <c r="L751" s="17"/>
    </row>
    <row r="752">
      <c r="L752" s="17"/>
    </row>
    <row r="753">
      <c r="L753" s="17"/>
    </row>
    <row r="754">
      <c r="L754" s="17"/>
    </row>
    <row r="755">
      <c r="L755" s="17"/>
    </row>
    <row r="756">
      <c r="L756" s="17"/>
    </row>
    <row r="757">
      <c r="L757" s="17"/>
    </row>
    <row r="758">
      <c r="L758" s="17"/>
    </row>
    <row r="759">
      <c r="L759" s="17"/>
    </row>
    <row r="760">
      <c r="L760" s="17"/>
    </row>
    <row r="761">
      <c r="L761" s="17"/>
    </row>
    <row r="762">
      <c r="L762" s="17"/>
    </row>
    <row r="763">
      <c r="L763" s="17"/>
    </row>
    <row r="764">
      <c r="L764" s="17"/>
    </row>
    <row r="765">
      <c r="L765" s="17"/>
    </row>
    <row r="766">
      <c r="L766" s="17"/>
    </row>
    <row r="767">
      <c r="L767" s="17"/>
    </row>
    <row r="768">
      <c r="L768" s="17"/>
    </row>
    <row r="769">
      <c r="L769" s="17"/>
    </row>
    <row r="770">
      <c r="L770" s="17"/>
    </row>
    <row r="771">
      <c r="L771" s="17"/>
    </row>
    <row r="772">
      <c r="L772" s="17"/>
    </row>
    <row r="773">
      <c r="L773" s="17"/>
    </row>
    <row r="774">
      <c r="L774" s="17"/>
    </row>
    <row r="775">
      <c r="L775" s="17"/>
    </row>
    <row r="776">
      <c r="L776" s="17"/>
    </row>
    <row r="777">
      <c r="L777" s="17"/>
    </row>
    <row r="778">
      <c r="L778" s="17"/>
    </row>
    <row r="779">
      <c r="L779" s="17"/>
    </row>
    <row r="780">
      <c r="L780" s="17"/>
    </row>
    <row r="781">
      <c r="L781" s="17"/>
    </row>
    <row r="782">
      <c r="L782" s="17"/>
    </row>
    <row r="783">
      <c r="L783" s="17"/>
    </row>
    <row r="784">
      <c r="L784" s="17"/>
    </row>
    <row r="785">
      <c r="L785" s="17"/>
    </row>
    <row r="786">
      <c r="L786" s="17"/>
    </row>
    <row r="787">
      <c r="L787" s="17"/>
    </row>
    <row r="788">
      <c r="L788" s="17"/>
    </row>
    <row r="789">
      <c r="L789" s="17"/>
    </row>
    <row r="790">
      <c r="L790" s="17"/>
    </row>
    <row r="791">
      <c r="L791" s="17"/>
    </row>
    <row r="792">
      <c r="L792" s="17"/>
    </row>
    <row r="793">
      <c r="L793" s="17"/>
    </row>
    <row r="794">
      <c r="L794" s="17"/>
    </row>
    <row r="795">
      <c r="L795" s="17"/>
    </row>
    <row r="796">
      <c r="L796" s="17"/>
    </row>
    <row r="797">
      <c r="L797" s="17"/>
    </row>
    <row r="798">
      <c r="L798" s="17"/>
    </row>
    <row r="799">
      <c r="L799" s="17"/>
    </row>
    <row r="800">
      <c r="L800" s="17"/>
    </row>
    <row r="801">
      <c r="L801" s="17"/>
    </row>
    <row r="802">
      <c r="L802" s="17"/>
    </row>
    <row r="803">
      <c r="L803" s="17"/>
    </row>
    <row r="804">
      <c r="L804" s="17"/>
    </row>
    <row r="805">
      <c r="L805" s="17"/>
    </row>
    <row r="806">
      <c r="L806" s="17"/>
    </row>
    <row r="807">
      <c r="L807" s="17"/>
    </row>
    <row r="808">
      <c r="L808" s="17"/>
    </row>
    <row r="809">
      <c r="L809" s="17"/>
    </row>
    <row r="810">
      <c r="L810" s="17"/>
    </row>
    <row r="811">
      <c r="L811" s="17"/>
    </row>
    <row r="812">
      <c r="L812" s="17"/>
    </row>
    <row r="813">
      <c r="L813" s="17"/>
    </row>
    <row r="814">
      <c r="L814" s="17"/>
    </row>
    <row r="815">
      <c r="L815" s="17"/>
    </row>
    <row r="816">
      <c r="L816" s="17"/>
    </row>
    <row r="817">
      <c r="L817" s="17"/>
    </row>
    <row r="818">
      <c r="L818" s="17"/>
    </row>
    <row r="819">
      <c r="L819" s="17"/>
    </row>
    <row r="820">
      <c r="L820" s="17"/>
    </row>
    <row r="821">
      <c r="L821" s="17"/>
    </row>
    <row r="822">
      <c r="L822" s="17"/>
    </row>
    <row r="823">
      <c r="L823" s="17"/>
    </row>
    <row r="824">
      <c r="L824" s="17"/>
    </row>
    <row r="825">
      <c r="L825" s="17"/>
    </row>
    <row r="826">
      <c r="L826" s="17"/>
    </row>
    <row r="827">
      <c r="L827" s="17"/>
    </row>
    <row r="828">
      <c r="L828" s="17"/>
    </row>
    <row r="829">
      <c r="L829" s="17"/>
    </row>
    <row r="830">
      <c r="L830" s="17"/>
    </row>
    <row r="831">
      <c r="L831" s="17"/>
    </row>
    <row r="832">
      <c r="L832" s="17"/>
    </row>
    <row r="833">
      <c r="L833" s="17"/>
    </row>
    <row r="834">
      <c r="L834" s="17"/>
    </row>
    <row r="835">
      <c r="L835" s="17"/>
    </row>
    <row r="836">
      <c r="L836" s="17"/>
    </row>
    <row r="837">
      <c r="L837" s="17"/>
    </row>
    <row r="838">
      <c r="L838" s="17"/>
    </row>
    <row r="839">
      <c r="L839" s="17"/>
    </row>
    <row r="840">
      <c r="L840" s="17"/>
    </row>
    <row r="841">
      <c r="L841" s="17"/>
    </row>
    <row r="842">
      <c r="L842" s="17"/>
    </row>
    <row r="843">
      <c r="L843" s="17"/>
    </row>
    <row r="844">
      <c r="L844" s="17"/>
    </row>
    <row r="845">
      <c r="L845" s="17"/>
    </row>
    <row r="846">
      <c r="L846" s="17"/>
    </row>
    <row r="847">
      <c r="L847" s="17"/>
    </row>
    <row r="848">
      <c r="L848" s="17"/>
    </row>
    <row r="849">
      <c r="L849" s="17"/>
    </row>
    <row r="850">
      <c r="L850" s="17"/>
    </row>
    <row r="851">
      <c r="L851" s="17"/>
    </row>
    <row r="852">
      <c r="L852" s="17"/>
    </row>
    <row r="853">
      <c r="L853" s="17"/>
    </row>
    <row r="854">
      <c r="L854" s="17"/>
    </row>
    <row r="855">
      <c r="L855" s="17"/>
    </row>
    <row r="856">
      <c r="L856" s="17"/>
    </row>
    <row r="857">
      <c r="L857" s="17"/>
    </row>
    <row r="858">
      <c r="L858" s="17"/>
    </row>
    <row r="859">
      <c r="L859" s="17"/>
    </row>
    <row r="860">
      <c r="L860" s="17"/>
    </row>
    <row r="861">
      <c r="L861" s="17"/>
    </row>
    <row r="862">
      <c r="L862" s="17"/>
    </row>
    <row r="863">
      <c r="L863" s="17"/>
    </row>
    <row r="864">
      <c r="L864" s="17"/>
    </row>
    <row r="865">
      <c r="L865" s="17"/>
    </row>
    <row r="866">
      <c r="L866" s="17"/>
    </row>
    <row r="867">
      <c r="L867" s="17"/>
    </row>
    <row r="868">
      <c r="L868" s="17"/>
    </row>
    <row r="869">
      <c r="L869" s="17"/>
    </row>
    <row r="870">
      <c r="L870" s="17"/>
    </row>
    <row r="871">
      <c r="L871" s="17"/>
    </row>
    <row r="872">
      <c r="L872" s="17"/>
    </row>
    <row r="873">
      <c r="L873" s="17"/>
    </row>
    <row r="874">
      <c r="L874" s="17"/>
    </row>
    <row r="875">
      <c r="L875" s="17"/>
    </row>
    <row r="876">
      <c r="L876" s="17"/>
    </row>
    <row r="877">
      <c r="L877" s="17"/>
    </row>
    <row r="878">
      <c r="L878" s="17"/>
    </row>
    <row r="879">
      <c r="L879" s="17"/>
    </row>
    <row r="880">
      <c r="L880" s="17"/>
    </row>
    <row r="881">
      <c r="L881" s="17"/>
    </row>
    <row r="882">
      <c r="L882" s="17"/>
    </row>
    <row r="883">
      <c r="L883" s="17"/>
    </row>
    <row r="884">
      <c r="L884" s="17"/>
    </row>
    <row r="885">
      <c r="L885" s="17"/>
    </row>
    <row r="886">
      <c r="L886" s="17"/>
    </row>
    <row r="887">
      <c r="L887" s="17"/>
    </row>
    <row r="888">
      <c r="L888" s="17"/>
    </row>
    <row r="889">
      <c r="L889" s="17"/>
    </row>
    <row r="890">
      <c r="L890" s="17"/>
    </row>
    <row r="891">
      <c r="L891" s="17"/>
    </row>
    <row r="892">
      <c r="L892" s="17"/>
    </row>
    <row r="893">
      <c r="L893" s="17"/>
    </row>
    <row r="894">
      <c r="L894" s="17"/>
    </row>
    <row r="895">
      <c r="L895" s="17"/>
    </row>
    <row r="896">
      <c r="L896" s="17"/>
    </row>
    <row r="897">
      <c r="L897" s="17"/>
    </row>
    <row r="898">
      <c r="L898" s="17"/>
    </row>
    <row r="899">
      <c r="L899" s="17"/>
    </row>
    <row r="900">
      <c r="L900" s="17"/>
    </row>
    <row r="901">
      <c r="L901" s="17"/>
    </row>
    <row r="902">
      <c r="L902" s="17"/>
    </row>
    <row r="903">
      <c r="L903" s="17"/>
    </row>
    <row r="904">
      <c r="L904" s="17"/>
    </row>
    <row r="905">
      <c r="L905" s="17"/>
    </row>
    <row r="906">
      <c r="L906" s="17"/>
    </row>
    <row r="907">
      <c r="L907" s="17"/>
    </row>
    <row r="908">
      <c r="L908" s="17"/>
    </row>
    <row r="909">
      <c r="L909" s="17"/>
    </row>
    <row r="910">
      <c r="L910" s="17"/>
    </row>
    <row r="911">
      <c r="L911" s="17"/>
    </row>
    <row r="912">
      <c r="L912" s="17"/>
    </row>
    <row r="913">
      <c r="L913" s="17"/>
    </row>
    <row r="914">
      <c r="L914" s="17"/>
    </row>
    <row r="915">
      <c r="L915" s="17"/>
    </row>
    <row r="916">
      <c r="L916" s="17"/>
    </row>
    <row r="917">
      <c r="L917" s="17"/>
    </row>
    <row r="918">
      <c r="L918" s="17"/>
    </row>
    <row r="919">
      <c r="L919" s="17"/>
    </row>
    <row r="920">
      <c r="L920" s="17"/>
    </row>
    <row r="921">
      <c r="L921" s="17"/>
    </row>
    <row r="922">
      <c r="L922" s="17"/>
    </row>
    <row r="923">
      <c r="L923" s="17"/>
    </row>
    <row r="924">
      <c r="L924" s="17"/>
    </row>
    <row r="925">
      <c r="L925" s="17"/>
    </row>
    <row r="926">
      <c r="L926" s="17"/>
    </row>
    <row r="927">
      <c r="L927" s="17"/>
    </row>
    <row r="928">
      <c r="L928" s="17"/>
    </row>
    <row r="929">
      <c r="L929" s="17"/>
    </row>
    <row r="930">
      <c r="L930" s="17"/>
    </row>
    <row r="931">
      <c r="L931" s="17"/>
    </row>
    <row r="932">
      <c r="L932" s="17"/>
    </row>
    <row r="933">
      <c r="L933" s="17"/>
    </row>
    <row r="934">
      <c r="L934" s="17"/>
    </row>
    <row r="935">
      <c r="L935" s="17"/>
    </row>
    <row r="936">
      <c r="L936" s="17"/>
    </row>
    <row r="937">
      <c r="L937" s="17"/>
    </row>
    <row r="938">
      <c r="L938" s="17"/>
    </row>
    <row r="939">
      <c r="L939" s="17"/>
    </row>
    <row r="940">
      <c r="L940" s="17"/>
    </row>
    <row r="941">
      <c r="L941" s="17"/>
    </row>
    <row r="942">
      <c r="L942" s="17"/>
    </row>
    <row r="943">
      <c r="L943" s="17"/>
    </row>
    <row r="944">
      <c r="L944" s="17"/>
    </row>
    <row r="945">
      <c r="L945" s="17"/>
    </row>
    <row r="946">
      <c r="L946" s="17"/>
    </row>
    <row r="947">
      <c r="L947" s="17"/>
    </row>
    <row r="948">
      <c r="L948" s="17"/>
    </row>
    <row r="949">
      <c r="L949" s="17"/>
    </row>
    <row r="950">
      <c r="L950" s="17"/>
    </row>
    <row r="951">
      <c r="L951" s="17"/>
    </row>
    <row r="952">
      <c r="L952" s="17"/>
    </row>
    <row r="953">
      <c r="L953" s="17"/>
    </row>
    <row r="954">
      <c r="L954" s="17"/>
    </row>
    <row r="955">
      <c r="L955" s="17"/>
    </row>
    <row r="956">
      <c r="L956" s="17"/>
    </row>
    <row r="957">
      <c r="L957" s="17"/>
    </row>
    <row r="958">
      <c r="L958" s="17"/>
    </row>
    <row r="959">
      <c r="L959" s="17"/>
    </row>
    <row r="960">
      <c r="L960" s="17"/>
    </row>
    <row r="961">
      <c r="L961" s="17"/>
    </row>
    <row r="962">
      <c r="L962" s="17"/>
    </row>
    <row r="963">
      <c r="L963" s="17"/>
    </row>
    <row r="964">
      <c r="L964" s="17"/>
    </row>
    <row r="965">
      <c r="L965" s="17"/>
    </row>
    <row r="966">
      <c r="L966" s="17"/>
    </row>
    <row r="967">
      <c r="L967" s="17"/>
    </row>
    <row r="968">
      <c r="L968" s="17"/>
    </row>
    <row r="969">
      <c r="L969" s="17"/>
    </row>
    <row r="970">
      <c r="L970" s="17"/>
    </row>
    <row r="971">
      <c r="L971" s="17"/>
    </row>
    <row r="972">
      <c r="L972" s="17"/>
    </row>
    <row r="973">
      <c r="L973" s="17"/>
    </row>
    <row r="974">
      <c r="L974" s="17"/>
    </row>
    <row r="975">
      <c r="L975" s="17"/>
    </row>
    <row r="976">
      <c r="L976" s="17"/>
    </row>
    <row r="977">
      <c r="L977" s="17"/>
    </row>
    <row r="978">
      <c r="L978" s="17"/>
    </row>
    <row r="979">
      <c r="L979" s="17"/>
    </row>
    <row r="980">
      <c r="L980" s="17"/>
    </row>
    <row r="981">
      <c r="L981" s="17"/>
    </row>
    <row r="982">
      <c r="L982" s="17"/>
    </row>
    <row r="983">
      <c r="L983" s="17"/>
    </row>
    <row r="984">
      <c r="L984" s="17"/>
    </row>
    <row r="985">
      <c r="L985" s="17"/>
    </row>
    <row r="986">
      <c r="L986" s="17"/>
    </row>
    <row r="987">
      <c r="L987" s="17"/>
    </row>
    <row r="988">
      <c r="L988" s="17"/>
    </row>
    <row r="989">
      <c r="L989" s="17"/>
    </row>
    <row r="990">
      <c r="L990" s="17"/>
    </row>
    <row r="991">
      <c r="L991" s="17"/>
    </row>
    <row r="992">
      <c r="L992"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29.75"/>
    <col customWidth="1" min="3" max="3" width="26.38"/>
    <col customWidth="1" min="9" max="9" width="13.13"/>
    <col customWidth="1" min="14" max="14" width="29.0"/>
  </cols>
  <sheetData>
    <row r="1">
      <c r="A1" s="1" t="s">
        <v>0</v>
      </c>
      <c r="B1" s="1" t="s">
        <v>2</v>
      </c>
      <c r="C1" s="1" t="s">
        <v>3</v>
      </c>
      <c r="D1" s="1" t="s">
        <v>4</v>
      </c>
      <c r="E1" s="1" t="s">
        <v>20</v>
      </c>
      <c r="F1" s="1" t="s">
        <v>23</v>
      </c>
      <c r="G1" s="1" t="s">
        <v>26</v>
      </c>
      <c r="H1" s="1" t="s">
        <v>28</v>
      </c>
      <c r="I1" s="1" t="s">
        <v>29</v>
      </c>
      <c r="J1" s="1" t="s">
        <v>13</v>
      </c>
      <c r="K1" s="1" t="s">
        <v>8</v>
      </c>
      <c r="L1" s="1" t="s">
        <v>15</v>
      </c>
      <c r="M1" s="1" t="s">
        <v>7</v>
      </c>
      <c r="N1" s="3" t="s">
        <v>16</v>
      </c>
      <c r="O1" s="5"/>
      <c r="P1" s="5"/>
      <c r="Q1" s="5"/>
      <c r="R1" s="5"/>
      <c r="S1" s="5"/>
      <c r="T1" s="5"/>
      <c r="U1" s="5"/>
      <c r="V1" s="5"/>
      <c r="W1" s="5"/>
      <c r="X1" s="5"/>
      <c r="Y1" s="5"/>
      <c r="Z1" s="5"/>
    </row>
    <row r="2">
      <c r="A2" s="9">
        <v>45930.404623298615</v>
      </c>
      <c r="B2" s="11" t="s">
        <v>44</v>
      </c>
      <c r="C2" s="11" t="s">
        <v>45</v>
      </c>
      <c r="D2" s="12">
        <v>16.0</v>
      </c>
      <c r="E2" s="12">
        <v>12.0</v>
      </c>
      <c r="F2" s="12">
        <v>12.0</v>
      </c>
      <c r="G2" s="12">
        <v>16.0</v>
      </c>
      <c r="H2" s="12">
        <v>12.0</v>
      </c>
      <c r="I2" s="12">
        <v>12.0</v>
      </c>
      <c r="J2" s="12">
        <v>80.0</v>
      </c>
      <c r="K2" s="11" t="s">
        <v>38</v>
      </c>
      <c r="L2" s="11" t="s">
        <v>52</v>
      </c>
      <c r="N2" s="17"/>
    </row>
    <row r="3">
      <c r="A3" s="9">
        <v>45930.45332707176</v>
      </c>
      <c r="B3" s="11" t="s">
        <v>58</v>
      </c>
      <c r="C3" s="11" t="s">
        <v>61</v>
      </c>
      <c r="D3" s="12">
        <v>5.4</v>
      </c>
      <c r="E3" s="12">
        <v>4.6</v>
      </c>
      <c r="F3" s="12">
        <v>5.2</v>
      </c>
      <c r="G3" s="12">
        <v>4.0</v>
      </c>
      <c r="H3" s="12">
        <v>5.0</v>
      </c>
      <c r="I3" s="12">
        <v>6.0</v>
      </c>
      <c r="J3" s="12">
        <v>30.2</v>
      </c>
      <c r="K3" s="11" t="s">
        <v>38</v>
      </c>
      <c r="L3" s="11" t="s">
        <v>39</v>
      </c>
      <c r="N3" s="14" t="s">
        <v>67</v>
      </c>
    </row>
    <row r="4">
      <c r="A4" s="9">
        <v>45930.46189180556</v>
      </c>
      <c r="B4" s="11" t="s">
        <v>69</v>
      </c>
      <c r="C4" s="11" t="s">
        <v>70</v>
      </c>
      <c r="D4" s="12">
        <v>13.0</v>
      </c>
      <c r="E4" s="12">
        <v>10.600000000000001</v>
      </c>
      <c r="F4" s="12">
        <v>11.200000000000001</v>
      </c>
      <c r="G4" s="12">
        <v>13.600000000000001</v>
      </c>
      <c r="H4" s="12">
        <v>11.200000000000001</v>
      </c>
      <c r="I4" s="12">
        <v>12.0</v>
      </c>
      <c r="J4" s="12">
        <v>71.60000000000001</v>
      </c>
      <c r="K4" s="11" t="s">
        <v>38</v>
      </c>
      <c r="L4" s="11" t="s">
        <v>52</v>
      </c>
      <c r="N4" s="14" t="s">
        <v>74</v>
      </c>
    </row>
    <row r="5">
      <c r="A5" s="9">
        <v>45930.46659228009</v>
      </c>
      <c r="B5" s="11" t="s">
        <v>58</v>
      </c>
      <c r="C5" s="11" t="s">
        <v>77</v>
      </c>
      <c r="D5" s="12">
        <v>13.600000000000001</v>
      </c>
      <c r="E5" s="12">
        <v>6.0</v>
      </c>
      <c r="F5" s="12">
        <v>12.0</v>
      </c>
      <c r="G5" s="12">
        <v>10.4</v>
      </c>
      <c r="H5" s="12">
        <v>9.0</v>
      </c>
      <c r="I5" s="12">
        <v>11.0</v>
      </c>
      <c r="J5" s="12">
        <v>62.0</v>
      </c>
      <c r="K5" s="11" t="s">
        <v>38</v>
      </c>
      <c r="L5" s="11" t="s">
        <v>39</v>
      </c>
      <c r="N5" s="14" t="s">
        <v>84</v>
      </c>
    </row>
    <row r="6">
      <c r="A6" s="9">
        <v>45930.47094363426</v>
      </c>
      <c r="B6" s="11" t="s">
        <v>69</v>
      </c>
      <c r="C6" s="11" t="s">
        <v>87</v>
      </c>
      <c r="D6" s="12">
        <v>14.600000000000001</v>
      </c>
      <c r="E6" s="12">
        <v>10.399999999999999</v>
      </c>
      <c r="F6" s="12">
        <v>12.0</v>
      </c>
      <c r="G6" s="12">
        <v>16.0</v>
      </c>
      <c r="H6" s="12">
        <v>12.0</v>
      </c>
      <c r="I6" s="12">
        <v>12.0</v>
      </c>
      <c r="J6" s="12">
        <v>77.0</v>
      </c>
      <c r="K6" s="11" t="s">
        <v>38</v>
      </c>
      <c r="L6" s="11" t="s">
        <v>52</v>
      </c>
      <c r="N6" s="14" t="s">
        <v>93</v>
      </c>
    </row>
    <row r="7">
      <c r="A7" s="9">
        <v>45930.4748856713</v>
      </c>
      <c r="B7" s="11" t="s">
        <v>95</v>
      </c>
      <c r="C7" s="11" t="s">
        <v>36</v>
      </c>
      <c r="D7" s="12">
        <v>11.0</v>
      </c>
      <c r="E7" s="12">
        <v>10.600000000000001</v>
      </c>
      <c r="F7" s="12">
        <v>6.0</v>
      </c>
      <c r="G7" s="12">
        <v>8.0</v>
      </c>
      <c r="H7" s="12">
        <v>6.0</v>
      </c>
      <c r="I7" s="12">
        <v>12.0</v>
      </c>
      <c r="J7" s="12">
        <v>53.6</v>
      </c>
      <c r="K7" s="11" t="s">
        <v>38</v>
      </c>
      <c r="L7" s="11" t="s">
        <v>39</v>
      </c>
      <c r="N7" s="17"/>
    </row>
    <row r="8">
      <c r="A8" s="9">
        <v>45930.47695053241</v>
      </c>
      <c r="B8" s="11" t="s">
        <v>69</v>
      </c>
      <c r="C8" s="11" t="s">
        <v>100</v>
      </c>
      <c r="D8" s="12">
        <v>14.399999999999999</v>
      </c>
      <c r="E8" s="12">
        <v>9.0</v>
      </c>
      <c r="F8" s="12">
        <v>9.2</v>
      </c>
      <c r="G8" s="12">
        <v>12.0</v>
      </c>
      <c r="H8" s="12">
        <v>9.0</v>
      </c>
      <c r="I8" s="12">
        <v>11.0</v>
      </c>
      <c r="J8" s="12">
        <v>64.6</v>
      </c>
      <c r="K8" s="11" t="s">
        <v>38</v>
      </c>
      <c r="L8" s="11" t="s">
        <v>52</v>
      </c>
      <c r="N8" s="14" t="s">
        <v>104</v>
      </c>
    </row>
    <row r="9">
      <c r="A9" s="9">
        <v>45930.47700608797</v>
      </c>
      <c r="B9" s="11" t="s">
        <v>69</v>
      </c>
      <c r="C9" s="11" t="s">
        <v>100</v>
      </c>
      <c r="D9" s="12">
        <v>14.399999999999999</v>
      </c>
      <c r="E9" s="12">
        <v>9.0</v>
      </c>
      <c r="F9" s="12">
        <v>9.2</v>
      </c>
      <c r="G9" s="12">
        <v>12.0</v>
      </c>
      <c r="H9" s="12">
        <v>9.0</v>
      </c>
      <c r="I9" s="12">
        <v>11.0</v>
      </c>
      <c r="J9" s="12">
        <v>64.6</v>
      </c>
      <c r="K9" s="11" t="s">
        <v>38</v>
      </c>
      <c r="L9" s="11" t="s">
        <v>52</v>
      </c>
      <c r="N9" s="14" t="s">
        <v>104</v>
      </c>
    </row>
    <row r="10">
      <c r="A10" s="9">
        <v>45930.47815810185</v>
      </c>
      <c r="B10" s="11" t="s">
        <v>58</v>
      </c>
      <c r="C10" s="11" t="s">
        <v>110</v>
      </c>
      <c r="D10" s="12">
        <v>9.0</v>
      </c>
      <c r="E10" s="12">
        <v>6.0</v>
      </c>
      <c r="F10" s="12">
        <v>7.199999999999999</v>
      </c>
      <c r="G10" s="12">
        <v>4.0</v>
      </c>
      <c r="H10" s="12">
        <v>6.0</v>
      </c>
      <c r="I10" s="12">
        <v>8.0</v>
      </c>
      <c r="J10" s="12">
        <v>40.2</v>
      </c>
      <c r="K10" s="11" t="s">
        <v>53</v>
      </c>
      <c r="L10" s="11" t="s">
        <v>52</v>
      </c>
      <c r="N10" s="14" t="s">
        <v>114</v>
      </c>
    </row>
    <row r="11">
      <c r="A11" s="9">
        <v>45930.47820140046</v>
      </c>
      <c r="B11" s="11" t="s">
        <v>44</v>
      </c>
      <c r="C11" s="11" t="s">
        <v>116</v>
      </c>
      <c r="D11" s="12">
        <v>10.4</v>
      </c>
      <c r="E11" s="12">
        <v>9.0</v>
      </c>
      <c r="F11" s="12">
        <v>9.0</v>
      </c>
      <c r="G11" s="12">
        <v>0.0</v>
      </c>
      <c r="H11" s="12">
        <v>9.0</v>
      </c>
      <c r="I11" s="12">
        <v>9.0</v>
      </c>
      <c r="J11" s="12">
        <v>46.4</v>
      </c>
      <c r="K11" s="11" t="s">
        <v>53</v>
      </c>
      <c r="L11" s="11" t="s">
        <v>52</v>
      </c>
      <c r="N11" s="14" t="s">
        <v>120</v>
      </c>
    </row>
    <row r="12">
      <c r="A12" s="9">
        <v>45930.48364146991</v>
      </c>
      <c r="B12" s="11" t="s">
        <v>95</v>
      </c>
      <c r="C12" s="11" t="s">
        <v>41</v>
      </c>
      <c r="D12" s="12">
        <v>16.0</v>
      </c>
      <c r="E12" s="12">
        <v>13.4</v>
      </c>
      <c r="F12" s="12">
        <v>14.2</v>
      </c>
      <c r="G12" s="12">
        <v>20.0</v>
      </c>
      <c r="H12" s="12">
        <v>11.200000000000001</v>
      </c>
      <c r="I12" s="12">
        <v>11.0</v>
      </c>
      <c r="J12" s="12">
        <v>85.8</v>
      </c>
      <c r="K12" s="11" t="s">
        <v>38</v>
      </c>
      <c r="L12" s="11" t="s">
        <v>39</v>
      </c>
      <c r="N12" s="17"/>
    </row>
    <row r="13">
      <c r="A13" s="9">
        <v>45930.48398508102</v>
      </c>
      <c r="B13" s="11" t="s">
        <v>69</v>
      </c>
      <c r="C13" s="11" t="s">
        <v>126</v>
      </c>
      <c r="D13" s="12">
        <v>13.600000000000001</v>
      </c>
      <c r="E13" s="12">
        <v>12.0</v>
      </c>
      <c r="F13" s="12">
        <v>12.0</v>
      </c>
      <c r="G13" s="12">
        <v>16.0</v>
      </c>
      <c r="H13" s="12">
        <v>12.0</v>
      </c>
      <c r="I13" s="12">
        <v>12.0</v>
      </c>
      <c r="J13" s="12">
        <v>77.6</v>
      </c>
      <c r="K13" s="11" t="s">
        <v>38</v>
      </c>
      <c r="L13" s="11" t="s">
        <v>52</v>
      </c>
      <c r="N13" s="14" t="s">
        <v>129</v>
      </c>
    </row>
    <row r="14">
      <c r="A14" s="9">
        <v>45930.48865060185</v>
      </c>
      <c r="B14" s="11" t="s">
        <v>69</v>
      </c>
      <c r="C14" s="11" t="s">
        <v>132</v>
      </c>
      <c r="D14" s="12">
        <v>13.399999999999999</v>
      </c>
      <c r="E14" s="12">
        <v>9.0</v>
      </c>
      <c r="F14" s="12">
        <v>9.2</v>
      </c>
      <c r="G14" s="12">
        <v>16.0</v>
      </c>
      <c r="H14" s="12">
        <v>12.0</v>
      </c>
      <c r="I14" s="12">
        <v>12.0</v>
      </c>
      <c r="J14" s="12">
        <v>71.6</v>
      </c>
      <c r="K14" s="11" t="s">
        <v>38</v>
      </c>
      <c r="L14" s="11" t="s">
        <v>52</v>
      </c>
      <c r="N14" s="14" t="s">
        <v>137</v>
      </c>
    </row>
    <row r="15">
      <c r="A15" s="9">
        <v>45930.49224710648</v>
      </c>
      <c r="B15" s="11" t="s">
        <v>95</v>
      </c>
      <c r="C15" s="11" t="s">
        <v>73</v>
      </c>
      <c r="D15" s="12">
        <v>9.4</v>
      </c>
      <c r="E15" s="12">
        <v>9.0</v>
      </c>
      <c r="F15" s="12">
        <v>5.0</v>
      </c>
      <c r="G15" s="12">
        <v>8.0</v>
      </c>
      <c r="H15" s="12">
        <v>7.0</v>
      </c>
      <c r="I15" s="12">
        <v>8.0</v>
      </c>
      <c r="J15" s="12">
        <v>46.4</v>
      </c>
      <c r="K15" s="11" t="s">
        <v>38</v>
      </c>
      <c r="L15" s="11" t="s">
        <v>39</v>
      </c>
      <c r="N15" s="17"/>
    </row>
    <row r="16">
      <c r="A16" s="9">
        <v>45930.49362046296</v>
      </c>
      <c r="B16" s="11" t="s">
        <v>44</v>
      </c>
      <c r="C16" s="11" t="s">
        <v>145</v>
      </c>
      <c r="D16" s="12">
        <v>16.0</v>
      </c>
      <c r="E16" s="12">
        <v>9.0</v>
      </c>
      <c r="F16" s="12">
        <v>12.0</v>
      </c>
      <c r="G16" s="12">
        <v>14.399999999999999</v>
      </c>
      <c r="H16" s="12">
        <v>9.0</v>
      </c>
      <c r="I16" s="12">
        <v>12.0</v>
      </c>
      <c r="J16" s="12">
        <v>72.4</v>
      </c>
      <c r="K16" s="11" t="s">
        <v>51</v>
      </c>
      <c r="L16" s="11" t="s">
        <v>52</v>
      </c>
      <c r="N16" s="14" t="s">
        <v>149</v>
      </c>
    </row>
    <row r="17">
      <c r="A17" s="9">
        <v>45930.49439574074</v>
      </c>
      <c r="B17" s="11" t="s">
        <v>58</v>
      </c>
      <c r="C17" s="11" t="s">
        <v>75</v>
      </c>
      <c r="D17" s="12">
        <v>13.600000000000001</v>
      </c>
      <c r="E17" s="12">
        <v>10.399999999999999</v>
      </c>
      <c r="F17" s="12">
        <v>9.0</v>
      </c>
      <c r="G17" s="12">
        <v>12.0</v>
      </c>
      <c r="H17" s="12">
        <v>9.8</v>
      </c>
      <c r="I17" s="12">
        <v>10.0</v>
      </c>
      <c r="J17" s="12">
        <v>64.8</v>
      </c>
      <c r="K17" s="11" t="s">
        <v>51</v>
      </c>
      <c r="L17" s="11" t="s">
        <v>52</v>
      </c>
      <c r="N17" s="14" t="s">
        <v>154</v>
      </c>
    </row>
    <row r="18">
      <c r="A18" s="9">
        <v>45930.49577596065</v>
      </c>
      <c r="B18" s="11" t="s">
        <v>69</v>
      </c>
      <c r="C18" s="11" t="s">
        <v>158</v>
      </c>
      <c r="D18" s="12">
        <v>10.4</v>
      </c>
      <c r="E18" s="12">
        <v>10.399999999999999</v>
      </c>
      <c r="F18" s="12">
        <v>8.0</v>
      </c>
      <c r="G18" s="12">
        <v>13.600000000000001</v>
      </c>
      <c r="H18" s="12">
        <v>11.0</v>
      </c>
      <c r="I18" s="12">
        <v>9.0</v>
      </c>
      <c r="J18" s="12">
        <v>62.4</v>
      </c>
      <c r="K18" s="11" t="s">
        <v>38</v>
      </c>
      <c r="L18" s="11" t="s">
        <v>52</v>
      </c>
      <c r="N18" s="14" t="s">
        <v>162</v>
      </c>
    </row>
    <row r="19">
      <c r="A19" s="9">
        <v>45930.500823344904</v>
      </c>
      <c r="B19" s="11" t="s">
        <v>95</v>
      </c>
      <c r="C19" s="11" t="s">
        <v>85</v>
      </c>
      <c r="D19" s="12">
        <v>17.6</v>
      </c>
      <c r="E19" s="12">
        <v>13.4</v>
      </c>
      <c r="F19" s="12">
        <v>14.2</v>
      </c>
      <c r="G19" s="12">
        <v>17.6</v>
      </c>
      <c r="H19" s="12">
        <v>14.2</v>
      </c>
      <c r="I19" s="12">
        <v>13.0</v>
      </c>
      <c r="J19" s="12">
        <v>90.0</v>
      </c>
      <c r="K19" s="11" t="s">
        <v>38</v>
      </c>
      <c r="L19" s="11" t="s">
        <v>39</v>
      </c>
      <c r="N19" s="17"/>
    </row>
    <row r="20">
      <c r="A20" s="9">
        <v>45930.502222650466</v>
      </c>
      <c r="B20" s="11" t="s">
        <v>44</v>
      </c>
      <c r="C20" s="11" t="s">
        <v>169</v>
      </c>
      <c r="D20" s="12">
        <v>13.600000000000001</v>
      </c>
      <c r="E20" s="12">
        <v>9.0</v>
      </c>
      <c r="F20" s="12">
        <v>10.0</v>
      </c>
      <c r="G20" s="12">
        <v>12.0</v>
      </c>
      <c r="H20" s="12">
        <v>9.0</v>
      </c>
      <c r="I20" s="12">
        <v>9.0</v>
      </c>
      <c r="J20" s="12">
        <v>62.6</v>
      </c>
      <c r="K20" s="11" t="s">
        <v>38</v>
      </c>
      <c r="L20" s="11" t="s">
        <v>52</v>
      </c>
      <c r="N20" s="14" t="s">
        <v>175</v>
      </c>
    </row>
    <row r="21">
      <c r="A21" s="9">
        <v>45930.50420297454</v>
      </c>
      <c r="B21" s="11" t="s">
        <v>58</v>
      </c>
      <c r="C21" s="11" t="s">
        <v>55</v>
      </c>
      <c r="D21" s="12">
        <v>8.0</v>
      </c>
      <c r="E21" s="12">
        <v>6.0</v>
      </c>
      <c r="F21" s="12">
        <v>7.0</v>
      </c>
      <c r="G21" s="12">
        <v>4.0</v>
      </c>
      <c r="H21" s="12">
        <v>6.0</v>
      </c>
      <c r="I21" s="12">
        <v>8.0</v>
      </c>
      <c r="J21" s="12">
        <v>39.0</v>
      </c>
      <c r="K21" s="11" t="s">
        <v>60</v>
      </c>
      <c r="L21" s="11" t="s">
        <v>62</v>
      </c>
      <c r="N21" s="14" t="s">
        <v>183</v>
      </c>
    </row>
    <row r="22">
      <c r="A22" s="9">
        <v>45930.50523931713</v>
      </c>
      <c r="B22" s="11" t="s">
        <v>95</v>
      </c>
      <c r="C22" s="11" t="s">
        <v>78</v>
      </c>
      <c r="D22" s="12">
        <v>8.0</v>
      </c>
      <c r="E22" s="12">
        <v>6.0</v>
      </c>
      <c r="F22" s="12">
        <v>11.200000000000001</v>
      </c>
      <c r="G22" s="12">
        <v>6.4</v>
      </c>
      <c r="H22" s="12">
        <v>5.0</v>
      </c>
      <c r="I22" s="12">
        <v>8.0</v>
      </c>
      <c r="J22" s="12">
        <v>44.6</v>
      </c>
      <c r="K22" s="11" t="s">
        <v>38</v>
      </c>
      <c r="L22" s="11" t="s">
        <v>39</v>
      </c>
      <c r="N22" s="17"/>
    </row>
    <row r="23">
      <c r="A23" s="9">
        <v>45930.50550609954</v>
      </c>
      <c r="B23" s="11" t="s">
        <v>69</v>
      </c>
      <c r="C23" s="11" t="s">
        <v>90</v>
      </c>
      <c r="D23" s="12">
        <v>16.0</v>
      </c>
      <c r="E23" s="12">
        <v>10.399999999999999</v>
      </c>
      <c r="F23" s="12">
        <v>9.0</v>
      </c>
      <c r="G23" s="12">
        <v>13.600000000000001</v>
      </c>
      <c r="H23" s="12">
        <v>8.0</v>
      </c>
      <c r="I23" s="12">
        <v>8.0</v>
      </c>
      <c r="J23" s="12">
        <v>65.0</v>
      </c>
      <c r="K23" s="11" t="s">
        <v>38</v>
      </c>
      <c r="L23" s="11" t="s">
        <v>52</v>
      </c>
      <c r="N23" s="17"/>
    </row>
    <row r="24">
      <c r="A24" s="9">
        <v>45930.51210314815</v>
      </c>
      <c r="B24" s="11" t="s">
        <v>69</v>
      </c>
      <c r="C24" s="11" t="s">
        <v>191</v>
      </c>
      <c r="D24" s="12">
        <v>12.0</v>
      </c>
      <c r="E24" s="12">
        <v>9.0</v>
      </c>
      <c r="F24" s="12">
        <v>9.0</v>
      </c>
      <c r="G24" s="12">
        <v>9.6</v>
      </c>
      <c r="H24" s="12">
        <v>7.800000000000001</v>
      </c>
      <c r="I24" s="12">
        <v>7.0</v>
      </c>
      <c r="J24" s="12">
        <v>54.400000000000006</v>
      </c>
      <c r="K24" s="11" t="s">
        <v>38</v>
      </c>
      <c r="L24" s="11" t="s">
        <v>52</v>
      </c>
      <c r="N24" s="14" t="s">
        <v>194</v>
      </c>
    </row>
    <row r="25">
      <c r="A25" s="9">
        <v>45930.51290913194</v>
      </c>
      <c r="B25" s="11" t="s">
        <v>127</v>
      </c>
      <c r="C25" s="11" t="s">
        <v>43</v>
      </c>
      <c r="D25" s="12">
        <v>9.2</v>
      </c>
      <c r="E25" s="12">
        <v>12.0</v>
      </c>
      <c r="F25" s="12">
        <v>5.800000000000001</v>
      </c>
      <c r="G25" s="12">
        <v>11.2</v>
      </c>
      <c r="H25" s="12">
        <v>4.800000000000001</v>
      </c>
      <c r="I25" s="12">
        <v>9.0</v>
      </c>
      <c r="J25" s="12">
        <v>52.0</v>
      </c>
      <c r="K25" s="11" t="s">
        <v>53</v>
      </c>
      <c r="L25" s="11" t="s">
        <v>59</v>
      </c>
      <c r="N25" s="14" t="s">
        <v>199</v>
      </c>
    </row>
    <row r="26">
      <c r="A26" s="9">
        <v>45930.51516206018</v>
      </c>
      <c r="B26" s="11" t="s">
        <v>95</v>
      </c>
      <c r="C26" s="11" t="s">
        <v>107</v>
      </c>
      <c r="D26" s="12">
        <v>4.0</v>
      </c>
      <c r="E26" s="12">
        <v>6.0</v>
      </c>
      <c r="F26" s="12">
        <v>7.6000000000000005</v>
      </c>
      <c r="G26" s="12">
        <v>10.4</v>
      </c>
      <c r="H26" s="12">
        <v>6.800000000000001</v>
      </c>
      <c r="I26" s="12">
        <v>9.0</v>
      </c>
      <c r="J26" s="12">
        <v>43.8</v>
      </c>
      <c r="K26" s="11" t="s">
        <v>38</v>
      </c>
      <c r="L26" s="11" t="s">
        <v>39</v>
      </c>
      <c r="N26" s="17"/>
    </row>
    <row r="27">
      <c r="A27" s="9">
        <v>45930.51818704861</v>
      </c>
      <c r="B27" s="11" t="s">
        <v>44</v>
      </c>
      <c r="C27" s="11" t="s">
        <v>148</v>
      </c>
      <c r="D27" s="12">
        <v>12.0</v>
      </c>
      <c r="E27" s="12">
        <v>9.0</v>
      </c>
      <c r="F27" s="12">
        <v>9.0</v>
      </c>
      <c r="G27" s="12">
        <v>12.0</v>
      </c>
      <c r="H27" s="12">
        <v>9.0</v>
      </c>
      <c r="I27" s="12">
        <v>9.0</v>
      </c>
      <c r="J27" s="12">
        <v>60.0</v>
      </c>
      <c r="K27" s="11" t="s">
        <v>38</v>
      </c>
      <c r="L27" s="11" t="s">
        <v>52</v>
      </c>
      <c r="N27" s="14" t="s">
        <v>204</v>
      </c>
    </row>
    <row r="28">
      <c r="A28" s="9">
        <v>45930.51962025463</v>
      </c>
      <c r="B28" s="11" t="s">
        <v>95</v>
      </c>
      <c r="C28" s="11" t="s">
        <v>205</v>
      </c>
      <c r="D28" s="12">
        <v>12.2</v>
      </c>
      <c r="E28" s="12">
        <v>6.0</v>
      </c>
      <c r="F28" s="12">
        <v>10.8</v>
      </c>
      <c r="G28" s="12">
        <v>10.4</v>
      </c>
      <c r="H28" s="12">
        <v>12.0</v>
      </c>
      <c r="I28" s="12">
        <v>9.0</v>
      </c>
      <c r="J28" s="12">
        <v>60.4</v>
      </c>
      <c r="K28" s="11" t="s">
        <v>38</v>
      </c>
      <c r="L28" s="11" t="s">
        <v>52</v>
      </c>
      <c r="N28" s="17"/>
    </row>
    <row r="29">
      <c r="A29" s="9">
        <v>45930.523914942125</v>
      </c>
      <c r="B29" s="11" t="s">
        <v>44</v>
      </c>
      <c r="C29" s="11" t="s">
        <v>202</v>
      </c>
      <c r="D29" s="12">
        <v>9.4</v>
      </c>
      <c r="E29" s="12">
        <v>9.0</v>
      </c>
      <c r="F29" s="12">
        <v>9.0</v>
      </c>
      <c r="G29" s="12">
        <v>12.0</v>
      </c>
      <c r="H29" s="12">
        <v>9.0</v>
      </c>
      <c r="I29" s="12">
        <v>9.0</v>
      </c>
      <c r="J29" s="12">
        <v>57.4</v>
      </c>
      <c r="K29" s="11" t="s">
        <v>60</v>
      </c>
      <c r="L29" s="11" t="s">
        <v>203</v>
      </c>
      <c r="N29" s="14" t="s">
        <v>207</v>
      </c>
    </row>
    <row r="30">
      <c r="A30" s="9">
        <v>45930.523926319445</v>
      </c>
      <c r="B30" s="11" t="s">
        <v>69</v>
      </c>
      <c r="C30" s="11" t="s">
        <v>209</v>
      </c>
      <c r="D30" s="12">
        <v>14.600000000000001</v>
      </c>
      <c r="E30" s="12">
        <v>10.600000000000001</v>
      </c>
      <c r="F30" s="12">
        <v>10.8</v>
      </c>
      <c r="G30" s="12">
        <v>16.0</v>
      </c>
      <c r="H30" s="12">
        <v>10.0</v>
      </c>
      <c r="I30" s="12">
        <v>12.0</v>
      </c>
      <c r="J30" s="12">
        <v>74.0</v>
      </c>
      <c r="K30" s="11" t="s">
        <v>53</v>
      </c>
      <c r="L30" s="11" t="s">
        <v>59</v>
      </c>
      <c r="N30" s="17"/>
    </row>
    <row r="31">
      <c r="A31" s="9">
        <v>45930.52552710648</v>
      </c>
      <c r="B31" s="11" t="s">
        <v>58</v>
      </c>
      <c r="C31" s="11" t="s">
        <v>200</v>
      </c>
      <c r="D31" s="12">
        <v>13.0</v>
      </c>
      <c r="E31" s="12">
        <v>12.0</v>
      </c>
      <c r="F31" s="12">
        <v>10.0</v>
      </c>
      <c r="G31" s="12">
        <v>12.0</v>
      </c>
      <c r="H31" s="12">
        <v>9.0</v>
      </c>
      <c r="I31" s="12">
        <v>11.0</v>
      </c>
      <c r="J31" s="12">
        <v>67.0</v>
      </c>
      <c r="K31" s="11" t="s">
        <v>38</v>
      </c>
      <c r="L31" s="11" t="s">
        <v>52</v>
      </c>
      <c r="N31" s="17"/>
    </row>
    <row r="32">
      <c r="A32" s="9">
        <v>45930.52625769676</v>
      </c>
      <c r="B32" s="11" t="s">
        <v>95</v>
      </c>
      <c r="C32" s="11" t="s">
        <v>206</v>
      </c>
      <c r="D32" s="12">
        <v>13.600000000000001</v>
      </c>
      <c r="E32" s="12">
        <v>7.6</v>
      </c>
      <c r="F32" s="12">
        <v>13.8</v>
      </c>
      <c r="G32" s="12">
        <v>14.399999999999999</v>
      </c>
      <c r="H32" s="12">
        <v>9.0</v>
      </c>
      <c r="I32" s="12">
        <v>9.0</v>
      </c>
      <c r="J32" s="12">
        <v>67.4</v>
      </c>
      <c r="K32" s="11" t="s">
        <v>38</v>
      </c>
      <c r="L32" s="11" t="s">
        <v>52</v>
      </c>
      <c r="N32" s="17"/>
    </row>
    <row r="33">
      <c r="A33" s="9">
        <v>45930.528525891204</v>
      </c>
      <c r="B33" s="11" t="s">
        <v>69</v>
      </c>
      <c r="C33" s="11" t="s">
        <v>213</v>
      </c>
      <c r="D33" s="12">
        <v>13.399999999999999</v>
      </c>
      <c r="E33" s="12">
        <v>12.0</v>
      </c>
      <c r="F33" s="12">
        <v>10.2</v>
      </c>
      <c r="G33" s="12">
        <v>12.0</v>
      </c>
      <c r="H33" s="12">
        <v>12.0</v>
      </c>
      <c r="I33" s="12">
        <v>12.0</v>
      </c>
      <c r="J33" s="12">
        <v>71.6</v>
      </c>
      <c r="K33" s="11" t="s">
        <v>53</v>
      </c>
      <c r="L33" s="11" t="s">
        <v>59</v>
      </c>
      <c r="N33" s="14" t="s">
        <v>218</v>
      </c>
    </row>
    <row r="34">
      <c r="A34" s="9">
        <v>45930.531805844905</v>
      </c>
      <c r="B34" s="11" t="s">
        <v>69</v>
      </c>
      <c r="C34" s="11" t="s">
        <v>48</v>
      </c>
      <c r="D34" s="12">
        <v>14.600000000000001</v>
      </c>
      <c r="E34" s="12">
        <v>12.0</v>
      </c>
      <c r="F34" s="12">
        <v>12.0</v>
      </c>
      <c r="G34" s="12">
        <v>16.0</v>
      </c>
      <c r="H34" s="12">
        <v>12.0</v>
      </c>
      <c r="I34" s="12">
        <v>11.0</v>
      </c>
      <c r="J34" s="12">
        <v>77.6</v>
      </c>
      <c r="K34" s="11" t="s">
        <v>51</v>
      </c>
      <c r="L34" s="11" t="s">
        <v>39</v>
      </c>
      <c r="N34" s="14" t="s">
        <v>222</v>
      </c>
    </row>
    <row r="35">
      <c r="A35" s="9">
        <v>45930.533305613426</v>
      </c>
      <c r="B35" s="11" t="s">
        <v>95</v>
      </c>
      <c r="C35" s="11" t="s">
        <v>144</v>
      </c>
      <c r="D35" s="12">
        <v>15.0</v>
      </c>
      <c r="E35" s="12">
        <v>12.0</v>
      </c>
      <c r="F35" s="12">
        <v>7.800000000000001</v>
      </c>
      <c r="G35" s="12">
        <v>13.600000000000001</v>
      </c>
      <c r="H35" s="12">
        <v>9.0</v>
      </c>
      <c r="I35" s="12">
        <v>9.0</v>
      </c>
      <c r="J35" s="12">
        <v>66.4</v>
      </c>
      <c r="K35" s="11" t="s">
        <v>53</v>
      </c>
      <c r="L35" s="11" t="s">
        <v>59</v>
      </c>
      <c r="N35" s="17"/>
    </row>
    <row r="36">
      <c r="A36" s="9">
        <v>45930.53698351852</v>
      </c>
      <c r="B36" s="11" t="s">
        <v>127</v>
      </c>
      <c r="C36" s="11" t="s">
        <v>133</v>
      </c>
      <c r="D36" s="12">
        <v>17.2</v>
      </c>
      <c r="E36" s="12">
        <v>15.0</v>
      </c>
      <c r="F36" s="12">
        <v>15.0</v>
      </c>
      <c r="G36" s="12">
        <v>20.0</v>
      </c>
      <c r="H36" s="12">
        <v>13.8</v>
      </c>
      <c r="I36" s="12">
        <v>15.0</v>
      </c>
      <c r="J36" s="12">
        <v>96.0</v>
      </c>
      <c r="K36" s="11" t="s">
        <v>38</v>
      </c>
      <c r="L36" s="11" t="s">
        <v>59</v>
      </c>
      <c r="N36" s="14" t="s">
        <v>232</v>
      </c>
    </row>
    <row r="37">
      <c r="A37" s="9">
        <v>45930.53813346065</v>
      </c>
      <c r="B37" s="11" t="s">
        <v>58</v>
      </c>
      <c r="C37" s="11" t="s">
        <v>159</v>
      </c>
      <c r="D37" s="12">
        <v>12.0</v>
      </c>
      <c r="E37" s="12">
        <v>9.0</v>
      </c>
      <c r="F37" s="12">
        <v>7.199999999999999</v>
      </c>
      <c r="G37" s="12">
        <v>12.0</v>
      </c>
      <c r="H37" s="12">
        <v>9.0</v>
      </c>
      <c r="I37" s="12">
        <v>11.0</v>
      </c>
      <c r="J37" s="12">
        <v>60.2</v>
      </c>
      <c r="K37" s="11" t="s">
        <v>38</v>
      </c>
      <c r="L37" s="11" t="s">
        <v>52</v>
      </c>
      <c r="N37" s="14" t="s">
        <v>239</v>
      </c>
    </row>
    <row r="38">
      <c r="A38" s="9">
        <v>45930.53979256944</v>
      </c>
      <c r="B38" s="11" t="s">
        <v>69</v>
      </c>
      <c r="C38" s="11" t="s">
        <v>225</v>
      </c>
      <c r="D38" s="12">
        <v>16.0</v>
      </c>
      <c r="E38" s="12">
        <v>10.600000000000001</v>
      </c>
      <c r="F38" s="12">
        <v>12.0</v>
      </c>
      <c r="G38" s="12">
        <v>16.0</v>
      </c>
      <c r="H38" s="12">
        <v>10.0</v>
      </c>
      <c r="I38" s="12">
        <v>11.0</v>
      </c>
      <c r="J38" s="12">
        <v>75.6</v>
      </c>
      <c r="K38" s="11" t="s">
        <v>88</v>
      </c>
      <c r="L38" s="11" t="s">
        <v>52</v>
      </c>
      <c r="N38" s="14" t="s">
        <v>244</v>
      </c>
    </row>
    <row r="39">
      <c r="A39" s="9">
        <v>45930.54224444444</v>
      </c>
      <c r="B39" s="11" t="s">
        <v>44</v>
      </c>
      <c r="C39" s="11" t="s">
        <v>246</v>
      </c>
      <c r="D39" s="12">
        <v>16.0</v>
      </c>
      <c r="E39" s="12">
        <v>9.0</v>
      </c>
      <c r="F39" s="12">
        <v>12.0</v>
      </c>
      <c r="G39" s="12">
        <v>16.0</v>
      </c>
      <c r="H39" s="12">
        <v>12.0</v>
      </c>
      <c r="I39" s="12">
        <v>12.0</v>
      </c>
      <c r="J39" s="12">
        <v>77.0</v>
      </c>
      <c r="K39" s="11" t="s">
        <v>53</v>
      </c>
      <c r="L39" s="11" t="s">
        <v>59</v>
      </c>
      <c r="N39" s="14" t="s">
        <v>249</v>
      </c>
    </row>
    <row r="40">
      <c r="A40" s="9">
        <v>45930.54372274305</v>
      </c>
      <c r="B40" s="11" t="s">
        <v>95</v>
      </c>
      <c r="C40" s="11" t="s">
        <v>228</v>
      </c>
      <c r="D40" s="12">
        <v>16.0</v>
      </c>
      <c r="E40" s="12">
        <v>12.0</v>
      </c>
      <c r="F40" s="12">
        <v>14.0</v>
      </c>
      <c r="G40" s="12">
        <v>16.0</v>
      </c>
      <c r="H40" s="12">
        <v>12.0</v>
      </c>
      <c r="I40" s="12">
        <v>10.0</v>
      </c>
      <c r="J40" s="12">
        <v>80.0</v>
      </c>
      <c r="K40" s="11" t="s">
        <v>53</v>
      </c>
      <c r="L40" s="11" t="s">
        <v>52</v>
      </c>
      <c r="N40" s="17"/>
    </row>
    <row r="41">
      <c r="A41" s="9">
        <v>45930.54959188658</v>
      </c>
      <c r="B41" s="11" t="s">
        <v>44</v>
      </c>
      <c r="C41" s="11" t="s">
        <v>251</v>
      </c>
      <c r="D41" s="12">
        <v>12.0</v>
      </c>
      <c r="E41" s="12">
        <v>9.0</v>
      </c>
      <c r="F41" s="12">
        <v>9.0</v>
      </c>
      <c r="G41" s="12">
        <v>12.0</v>
      </c>
      <c r="H41" s="12">
        <v>9.0</v>
      </c>
      <c r="I41" s="12">
        <v>9.0</v>
      </c>
      <c r="J41" s="12">
        <v>60.0</v>
      </c>
      <c r="K41" s="11" t="s">
        <v>212</v>
      </c>
      <c r="L41" s="11" t="s">
        <v>212</v>
      </c>
      <c r="N41" s="14" t="s">
        <v>256</v>
      </c>
    </row>
    <row r="42">
      <c r="A42" s="9">
        <v>45930.549866030095</v>
      </c>
      <c r="B42" s="11" t="s">
        <v>69</v>
      </c>
      <c r="C42" s="11" t="s">
        <v>195</v>
      </c>
      <c r="D42" s="12">
        <v>15.0</v>
      </c>
      <c r="E42" s="12">
        <v>9.0</v>
      </c>
      <c r="F42" s="12">
        <v>12.0</v>
      </c>
      <c r="G42" s="12">
        <v>14.399999999999999</v>
      </c>
      <c r="H42" s="12">
        <v>9.0</v>
      </c>
      <c r="I42" s="12">
        <v>11.0</v>
      </c>
      <c r="J42" s="12">
        <v>70.4</v>
      </c>
      <c r="K42" s="11" t="s">
        <v>88</v>
      </c>
      <c r="L42" s="11" t="s">
        <v>52</v>
      </c>
      <c r="N42" s="14" t="s">
        <v>260</v>
      </c>
    </row>
    <row r="43">
      <c r="A43" s="9">
        <v>45930.55187821759</v>
      </c>
      <c r="B43" s="11" t="s">
        <v>95</v>
      </c>
      <c r="C43" s="11" t="s">
        <v>234</v>
      </c>
      <c r="D43" s="12">
        <v>15.0</v>
      </c>
      <c r="E43" s="12">
        <v>10.600000000000001</v>
      </c>
      <c r="F43" s="12">
        <v>8.8</v>
      </c>
      <c r="G43" s="12">
        <v>17.6</v>
      </c>
      <c r="H43" s="12">
        <v>15.0</v>
      </c>
      <c r="I43" s="12">
        <v>15.0</v>
      </c>
      <c r="J43" s="12">
        <v>82.0</v>
      </c>
      <c r="K43" s="11" t="s">
        <v>53</v>
      </c>
      <c r="L43" s="11" t="s">
        <v>52</v>
      </c>
      <c r="N43" s="17"/>
    </row>
    <row r="44">
      <c r="A44" s="9">
        <v>45930.554240150464</v>
      </c>
      <c r="B44" s="11" t="s">
        <v>69</v>
      </c>
      <c r="C44" s="11" t="s">
        <v>245</v>
      </c>
      <c r="D44" s="12">
        <v>14.399999999999999</v>
      </c>
      <c r="E44" s="12">
        <v>9.0</v>
      </c>
      <c r="F44" s="12">
        <v>12.0</v>
      </c>
      <c r="G44" s="12">
        <v>16.0</v>
      </c>
      <c r="H44" s="12">
        <v>11.0</v>
      </c>
      <c r="I44" s="12">
        <v>12.0</v>
      </c>
      <c r="J44" s="12">
        <v>74.4</v>
      </c>
      <c r="K44" s="11" t="s">
        <v>88</v>
      </c>
      <c r="L44" s="11" t="s">
        <v>52</v>
      </c>
      <c r="N44" s="17"/>
    </row>
    <row r="45">
      <c r="A45" s="9">
        <v>45930.56047175926</v>
      </c>
      <c r="B45" s="11" t="s">
        <v>69</v>
      </c>
      <c r="C45" s="11" t="s">
        <v>86</v>
      </c>
      <c r="D45" s="12">
        <v>13.399999999999999</v>
      </c>
      <c r="E45" s="12">
        <v>12.0</v>
      </c>
      <c r="F45" s="12">
        <v>10.0</v>
      </c>
      <c r="G45" s="12">
        <v>16.0</v>
      </c>
      <c r="H45" s="12">
        <v>11.0</v>
      </c>
      <c r="I45" s="12">
        <v>10.0</v>
      </c>
      <c r="J45" s="12">
        <v>72.4</v>
      </c>
      <c r="K45" s="11" t="s">
        <v>88</v>
      </c>
      <c r="L45" s="11" t="s">
        <v>39</v>
      </c>
      <c r="N45" s="17"/>
    </row>
    <row r="46">
      <c r="A46" s="9">
        <v>45930.56064310185</v>
      </c>
      <c r="B46" s="11" t="s">
        <v>127</v>
      </c>
      <c r="C46" s="11" t="s">
        <v>136</v>
      </c>
      <c r="D46" s="12">
        <v>20.0</v>
      </c>
      <c r="E46" s="12">
        <v>15.0</v>
      </c>
      <c r="F46" s="12">
        <v>15.0</v>
      </c>
      <c r="G46" s="12">
        <v>20.0</v>
      </c>
      <c r="H46" s="12">
        <v>13.0</v>
      </c>
      <c r="I46" s="12">
        <v>12.0</v>
      </c>
      <c r="J46" s="12">
        <v>95.0</v>
      </c>
      <c r="K46" s="11" t="s">
        <v>38</v>
      </c>
      <c r="L46" s="11" t="s">
        <v>59</v>
      </c>
      <c r="N46" s="14" t="s">
        <v>270</v>
      </c>
    </row>
    <row r="47">
      <c r="A47" s="9">
        <v>45930.566945694445</v>
      </c>
      <c r="B47" s="11" t="s">
        <v>69</v>
      </c>
      <c r="C47" s="11" t="s">
        <v>133</v>
      </c>
      <c r="D47" s="12">
        <v>14.399999999999999</v>
      </c>
      <c r="E47" s="12">
        <v>10.600000000000001</v>
      </c>
      <c r="F47" s="12">
        <v>12.0</v>
      </c>
      <c r="G47" s="12">
        <v>12.0</v>
      </c>
      <c r="H47" s="12">
        <v>12.0</v>
      </c>
      <c r="I47" s="12">
        <v>11.0</v>
      </c>
      <c r="J47" s="12">
        <v>72.0</v>
      </c>
      <c r="K47" s="11" t="s">
        <v>38</v>
      </c>
      <c r="L47" s="11" t="s">
        <v>59</v>
      </c>
      <c r="N47" s="17"/>
    </row>
    <row r="48">
      <c r="A48" s="9">
        <v>45930.584130902775</v>
      </c>
      <c r="B48" s="11" t="s">
        <v>44</v>
      </c>
      <c r="C48" s="11" t="s">
        <v>65</v>
      </c>
      <c r="D48" s="12">
        <v>14.600000000000001</v>
      </c>
      <c r="E48" s="12">
        <v>9.0</v>
      </c>
      <c r="F48" s="12">
        <v>11.0</v>
      </c>
      <c r="G48" s="12">
        <v>12.0</v>
      </c>
      <c r="H48" s="12">
        <v>9.0</v>
      </c>
      <c r="I48" s="12">
        <v>12.0</v>
      </c>
      <c r="J48" s="12">
        <v>67.6</v>
      </c>
      <c r="K48" s="11" t="s">
        <v>53</v>
      </c>
      <c r="L48" s="11" t="s">
        <v>39</v>
      </c>
      <c r="N48" s="14" t="s">
        <v>276</v>
      </c>
    </row>
    <row r="49">
      <c r="A49" s="9">
        <v>45930.59548072917</v>
      </c>
      <c r="B49" s="11" t="s">
        <v>44</v>
      </c>
      <c r="C49" s="11" t="s">
        <v>122</v>
      </c>
      <c r="D49" s="12">
        <v>12.0</v>
      </c>
      <c r="E49" s="12">
        <v>9.0</v>
      </c>
      <c r="F49" s="12">
        <v>11.200000000000001</v>
      </c>
      <c r="G49" s="12">
        <v>12.0</v>
      </c>
      <c r="H49" s="12">
        <v>11.200000000000001</v>
      </c>
      <c r="I49" s="12">
        <v>11.0</v>
      </c>
      <c r="J49" s="12">
        <v>66.4</v>
      </c>
      <c r="K49" s="11" t="s">
        <v>53</v>
      </c>
      <c r="L49" s="11" t="s">
        <v>39</v>
      </c>
      <c r="N49" s="14" t="s">
        <v>277</v>
      </c>
    </row>
    <row r="50">
      <c r="A50" s="9">
        <v>45930.60531731481</v>
      </c>
      <c r="B50" s="11" t="s">
        <v>44</v>
      </c>
      <c r="C50" s="11" t="s">
        <v>163</v>
      </c>
      <c r="D50" s="12">
        <v>12.0</v>
      </c>
      <c r="E50" s="12">
        <v>9.0</v>
      </c>
      <c r="F50" s="12">
        <v>9.0</v>
      </c>
      <c r="G50" s="12">
        <v>12.0</v>
      </c>
      <c r="H50" s="12">
        <v>9.0</v>
      </c>
      <c r="I50" s="12">
        <v>9.0</v>
      </c>
      <c r="J50" s="12">
        <v>60.0</v>
      </c>
      <c r="K50" s="11" t="s">
        <v>53</v>
      </c>
      <c r="L50" s="11" t="s">
        <v>52</v>
      </c>
      <c r="N50" s="14" t="s">
        <v>283</v>
      </c>
    </row>
    <row r="51">
      <c r="A51" s="9">
        <v>45930.60557517361</v>
      </c>
      <c r="B51" s="11" t="s">
        <v>69</v>
      </c>
      <c r="C51" s="11" t="s">
        <v>285</v>
      </c>
      <c r="D51" s="12">
        <v>14.399999999999999</v>
      </c>
      <c r="E51" s="12">
        <v>10.600000000000001</v>
      </c>
      <c r="F51" s="12">
        <v>9.0</v>
      </c>
      <c r="G51" s="12">
        <v>8.0</v>
      </c>
      <c r="H51" s="12">
        <v>7.800000000000001</v>
      </c>
      <c r="I51" s="12">
        <v>12.0</v>
      </c>
      <c r="J51" s="12">
        <v>61.8</v>
      </c>
      <c r="K51" s="11" t="s">
        <v>212</v>
      </c>
      <c r="L51" s="11" t="s">
        <v>212</v>
      </c>
      <c r="N51" s="14" t="s">
        <v>287</v>
      </c>
    </row>
    <row r="52">
      <c r="A52" s="9">
        <v>45930.60562722222</v>
      </c>
      <c r="B52" s="11" t="s">
        <v>69</v>
      </c>
      <c r="C52" s="11" t="s">
        <v>285</v>
      </c>
      <c r="D52" s="12">
        <v>14.399999999999999</v>
      </c>
      <c r="E52" s="12">
        <v>10.600000000000001</v>
      </c>
      <c r="F52" s="12">
        <v>9.0</v>
      </c>
      <c r="G52" s="12">
        <v>8.0</v>
      </c>
      <c r="H52" s="12">
        <v>7.800000000000001</v>
      </c>
      <c r="I52" s="12">
        <v>12.0</v>
      </c>
      <c r="J52" s="12">
        <v>61.8</v>
      </c>
      <c r="K52" s="11" t="s">
        <v>212</v>
      </c>
      <c r="L52" s="11" t="s">
        <v>212</v>
      </c>
      <c r="N52" s="14" t="s">
        <v>287</v>
      </c>
    </row>
    <row r="53">
      <c r="A53" s="9">
        <v>45930.606545138886</v>
      </c>
      <c r="B53" s="11" t="s">
        <v>95</v>
      </c>
      <c r="C53" s="11" t="s">
        <v>190</v>
      </c>
      <c r="D53" s="12">
        <v>20.0</v>
      </c>
      <c r="E53" s="12">
        <v>15.0</v>
      </c>
      <c r="F53" s="12">
        <v>13.2</v>
      </c>
      <c r="G53" s="12">
        <v>18.4</v>
      </c>
      <c r="H53" s="12">
        <v>13.2</v>
      </c>
      <c r="I53" s="12">
        <v>13.0</v>
      </c>
      <c r="J53" s="12">
        <v>92.8</v>
      </c>
      <c r="K53" s="11" t="s">
        <v>53</v>
      </c>
      <c r="L53" s="11" t="s">
        <v>52</v>
      </c>
      <c r="N53" s="14" t="s">
        <v>293</v>
      </c>
    </row>
    <row r="54">
      <c r="A54" s="9">
        <v>45930.61155819445</v>
      </c>
      <c r="B54" s="11" t="s">
        <v>69</v>
      </c>
      <c r="C54" s="11" t="s">
        <v>174</v>
      </c>
      <c r="D54" s="12">
        <v>11.0</v>
      </c>
      <c r="E54" s="12">
        <v>9.0</v>
      </c>
      <c r="F54" s="12">
        <v>10.2</v>
      </c>
      <c r="G54" s="12">
        <v>12.0</v>
      </c>
      <c r="H54" s="12">
        <v>9.0</v>
      </c>
      <c r="I54" s="12">
        <v>10.0</v>
      </c>
      <c r="J54" s="12">
        <v>61.2</v>
      </c>
      <c r="K54" s="11" t="s">
        <v>38</v>
      </c>
      <c r="L54" s="11" t="s">
        <v>39</v>
      </c>
      <c r="N54" s="17"/>
    </row>
    <row r="55">
      <c r="A55" s="9">
        <v>45930.61197871528</v>
      </c>
      <c r="B55" s="11" t="s">
        <v>127</v>
      </c>
      <c r="C55" s="11" t="s">
        <v>140</v>
      </c>
      <c r="D55" s="12">
        <v>16.0</v>
      </c>
      <c r="E55" s="12">
        <v>15.0</v>
      </c>
      <c r="F55" s="12">
        <v>13.0</v>
      </c>
      <c r="G55" s="12">
        <v>9.6</v>
      </c>
      <c r="H55" s="12">
        <v>5.6</v>
      </c>
      <c r="I55" s="12">
        <v>10.0</v>
      </c>
      <c r="J55" s="12">
        <v>69.2</v>
      </c>
      <c r="K55" s="11" t="s">
        <v>38</v>
      </c>
      <c r="L55" s="11" t="s">
        <v>59</v>
      </c>
      <c r="N55" s="14" t="s">
        <v>300</v>
      </c>
    </row>
    <row r="56">
      <c r="A56" s="9">
        <v>45930.61317350694</v>
      </c>
      <c r="B56" s="11" t="s">
        <v>95</v>
      </c>
      <c r="C56" s="11" t="s">
        <v>124</v>
      </c>
      <c r="D56" s="12">
        <v>20.0</v>
      </c>
      <c r="E56" s="12">
        <v>15.0</v>
      </c>
      <c r="F56" s="12">
        <v>13.0</v>
      </c>
      <c r="G56" s="12">
        <v>17.6</v>
      </c>
      <c r="H56" s="12">
        <v>15.0</v>
      </c>
      <c r="I56" s="12">
        <v>13.0</v>
      </c>
      <c r="J56" s="12">
        <v>93.6</v>
      </c>
      <c r="K56" s="11" t="s">
        <v>53</v>
      </c>
      <c r="L56" s="11" t="s">
        <v>39</v>
      </c>
      <c r="N56" s="14" t="s">
        <v>303</v>
      </c>
    </row>
    <row r="57">
      <c r="A57" s="9">
        <v>45930.615103310185</v>
      </c>
      <c r="B57" s="11" t="s">
        <v>69</v>
      </c>
      <c r="C57" s="11" t="s">
        <v>99</v>
      </c>
      <c r="D57" s="12">
        <v>13.0</v>
      </c>
      <c r="E57" s="12">
        <v>9.0</v>
      </c>
      <c r="F57" s="12">
        <v>12.0</v>
      </c>
      <c r="G57" s="12">
        <v>12.0</v>
      </c>
      <c r="H57" s="12">
        <v>9.0</v>
      </c>
      <c r="I57" s="12">
        <v>11.0</v>
      </c>
      <c r="J57" s="12">
        <v>66.0</v>
      </c>
      <c r="K57" s="11" t="s">
        <v>38</v>
      </c>
      <c r="L57" s="11" t="s">
        <v>52</v>
      </c>
      <c r="N57" s="17"/>
    </row>
    <row r="58">
      <c r="A58" s="9">
        <v>45930.61553251157</v>
      </c>
      <c r="B58" s="11" t="s">
        <v>44</v>
      </c>
      <c r="C58" s="11" t="s">
        <v>308</v>
      </c>
      <c r="D58" s="12">
        <v>16.0</v>
      </c>
      <c r="E58" s="12">
        <v>12.0</v>
      </c>
      <c r="F58" s="12">
        <v>12.8</v>
      </c>
      <c r="G58" s="12">
        <v>16.0</v>
      </c>
      <c r="H58" s="12">
        <v>12.0</v>
      </c>
      <c r="I58" s="12">
        <v>13.0</v>
      </c>
      <c r="J58" s="12">
        <v>81.8</v>
      </c>
      <c r="K58" s="11" t="s">
        <v>53</v>
      </c>
      <c r="L58" s="11" t="s">
        <v>39</v>
      </c>
      <c r="N58" s="14" t="s">
        <v>312</v>
      </c>
    </row>
    <row r="59">
      <c r="A59" s="9">
        <v>45930.61923466435</v>
      </c>
      <c r="B59" s="11" t="s">
        <v>69</v>
      </c>
      <c r="C59" s="11" t="s">
        <v>188</v>
      </c>
      <c r="D59" s="12">
        <v>14.600000000000001</v>
      </c>
      <c r="E59" s="12">
        <v>10.600000000000001</v>
      </c>
      <c r="F59" s="12">
        <v>10.0</v>
      </c>
      <c r="G59" s="12">
        <v>12.0</v>
      </c>
      <c r="H59" s="12">
        <v>9.0</v>
      </c>
      <c r="I59" s="12">
        <v>11.0</v>
      </c>
      <c r="J59" s="12">
        <v>67.2</v>
      </c>
      <c r="K59" s="11" t="s">
        <v>88</v>
      </c>
      <c r="L59" s="11" t="s">
        <v>52</v>
      </c>
      <c r="N59" s="17"/>
    </row>
    <row r="60">
      <c r="A60" s="9">
        <v>45930.61994104167</v>
      </c>
      <c r="B60" s="11" t="s">
        <v>95</v>
      </c>
      <c r="C60" s="11" t="s">
        <v>250</v>
      </c>
      <c r="D60" s="12">
        <v>13.399999999999999</v>
      </c>
      <c r="E60" s="12">
        <v>10.600000000000001</v>
      </c>
      <c r="F60" s="12">
        <v>7.800000000000001</v>
      </c>
      <c r="G60" s="12">
        <v>12.0</v>
      </c>
      <c r="H60" s="12">
        <v>9.0</v>
      </c>
      <c r="I60" s="12">
        <v>10.0</v>
      </c>
      <c r="J60" s="12">
        <v>62.8</v>
      </c>
      <c r="K60" s="11" t="s">
        <v>53</v>
      </c>
      <c r="L60" s="11" t="s">
        <v>39</v>
      </c>
      <c r="N60" s="17"/>
    </row>
    <row r="61">
      <c r="A61" s="9">
        <v>45930.62412388889</v>
      </c>
      <c r="B61" s="11" t="s">
        <v>69</v>
      </c>
      <c r="C61" s="11" t="s">
        <v>196</v>
      </c>
      <c r="D61" s="12">
        <v>16.0</v>
      </c>
      <c r="E61" s="12">
        <v>9.0</v>
      </c>
      <c r="F61" s="12">
        <v>12.0</v>
      </c>
      <c r="G61" s="12">
        <v>14.399999999999999</v>
      </c>
      <c r="H61" s="12">
        <v>10.0</v>
      </c>
      <c r="I61" s="12">
        <v>11.0</v>
      </c>
      <c r="J61" s="12">
        <v>72.4</v>
      </c>
      <c r="K61" s="11" t="s">
        <v>51</v>
      </c>
      <c r="L61" s="11" t="s">
        <v>52</v>
      </c>
      <c r="N61" s="17"/>
    </row>
    <row r="62">
      <c r="A62" s="9">
        <v>45930.63115418982</v>
      </c>
      <c r="B62" s="11" t="s">
        <v>127</v>
      </c>
      <c r="C62" s="11" t="s">
        <v>144</v>
      </c>
      <c r="D62" s="12">
        <v>5.4</v>
      </c>
      <c r="E62" s="12">
        <v>3.0</v>
      </c>
      <c r="F62" s="12">
        <v>4.0</v>
      </c>
      <c r="G62" s="12">
        <v>4.0</v>
      </c>
      <c r="H62" s="12">
        <v>3.0</v>
      </c>
      <c r="I62" s="12">
        <v>5.0</v>
      </c>
      <c r="J62" s="12">
        <v>24.4</v>
      </c>
      <c r="K62" s="11" t="s">
        <v>53</v>
      </c>
      <c r="L62" s="11" t="s">
        <v>59</v>
      </c>
      <c r="N62" s="14" t="s">
        <v>326</v>
      </c>
    </row>
    <row r="63">
      <c r="A63" s="9">
        <v>45930.63247201389</v>
      </c>
      <c r="B63" s="11" t="s">
        <v>69</v>
      </c>
      <c r="C63" s="11" t="s">
        <v>328</v>
      </c>
      <c r="D63" s="12">
        <v>10.4</v>
      </c>
      <c r="E63" s="12">
        <v>9.0</v>
      </c>
      <c r="F63" s="12">
        <v>7.800000000000001</v>
      </c>
      <c r="G63" s="12">
        <v>12.0</v>
      </c>
      <c r="H63" s="12">
        <v>7.0</v>
      </c>
      <c r="I63" s="12">
        <v>9.0</v>
      </c>
      <c r="J63" s="12">
        <v>55.2</v>
      </c>
      <c r="K63" s="11" t="s">
        <v>38</v>
      </c>
      <c r="L63" s="11" t="s">
        <v>52</v>
      </c>
      <c r="N63" s="17"/>
    </row>
    <row r="64">
      <c r="A64" s="9">
        <v>45930.65942228009</v>
      </c>
      <c r="B64" s="11" t="s">
        <v>95</v>
      </c>
      <c r="C64" s="11" t="s">
        <v>325</v>
      </c>
      <c r="D64" s="12">
        <v>8.0</v>
      </c>
      <c r="E64" s="12">
        <v>12.0</v>
      </c>
      <c r="F64" s="12">
        <v>12.200000000000001</v>
      </c>
      <c r="G64" s="12">
        <v>16.0</v>
      </c>
      <c r="H64" s="12">
        <v>8.2</v>
      </c>
      <c r="I64" s="12">
        <v>9.0</v>
      </c>
      <c r="J64" s="12">
        <v>65.4</v>
      </c>
      <c r="K64" s="11" t="s">
        <v>51</v>
      </c>
      <c r="L64" s="11" t="s">
        <v>39</v>
      </c>
      <c r="N64" s="14" t="s">
        <v>335</v>
      </c>
    </row>
    <row r="65">
      <c r="A65" s="9">
        <v>45930.669811342595</v>
      </c>
      <c r="B65" s="11" t="s">
        <v>95</v>
      </c>
      <c r="C65" s="11" t="s">
        <v>332</v>
      </c>
      <c r="D65" s="12">
        <v>9.0</v>
      </c>
      <c r="E65" s="12">
        <v>7.6</v>
      </c>
      <c r="F65" s="12">
        <v>8.0</v>
      </c>
      <c r="G65" s="12">
        <v>8.0</v>
      </c>
      <c r="H65" s="12">
        <v>8.0</v>
      </c>
      <c r="I65" s="12">
        <v>9.0</v>
      </c>
      <c r="J65" s="12">
        <v>49.6</v>
      </c>
      <c r="K65" s="11" t="s">
        <v>51</v>
      </c>
      <c r="L65" s="11" t="s">
        <v>39</v>
      </c>
      <c r="N65" s="17"/>
    </row>
    <row r="66">
      <c r="A66" s="9">
        <v>45930.6930940162</v>
      </c>
      <c r="B66" s="11" t="s">
        <v>44</v>
      </c>
      <c r="C66" s="11" t="s">
        <v>210</v>
      </c>
      <c r="D66" s="12">
        <v>12.0</v>
      </c>
      <c r="E66" s="12">
        <v>9.0</v>
      </c>
      <c r="F66" s="12">
        <v>9.0</v>
      </c>
      <c r="G66" s="12">
        <v>12.0</v>
      </c>
      <c r="H66" s="12">
        <v>9.8</v>
      </c>
      <c r="I66" s="12">
        <v>11.0</v>
      </c>
      <c r="J66" s="12">
        <v>62.8</v>
      </c>
      <c r="K66" s="11" t="s">
        <v>38</v>
      </c>
      <c r="L66" s="11" t="s">
        <v>52</v>
      </c>
      <c r="N66" s="14" t="s">
        <v>336</v>
      </c>
    </row>
    <row r="67">
      <c r="A67" s="9">
        <v>45930.693998449075</v>
      </c>
      <c r="B67" s="11" t="s">
        <v>95</v>
      </c>
      <c r="C67" s="11" t="s">
        <v>98</v>
      </c>
      <c r="D67" s="12">
        <v>9.0</v>
      </c>
      <c r="E67" s="12">
        <v>9.0</v>
      </c>
      <c r="F67" s="12">
        <v>8.0</v>
      </c>
      <c r="G67" s="12">
        <v>12.0</v>
      </c>
      <c r="H67" s="12">
        <v>9.0</v>
      </c>
      <c r="I67" s="12">
        <v>9.0</v>
      </c>
      <c r="J67" s="12">
        <v>56.0</v>
      </c>
      <c r="K67" s="11" t="s">
        <v>88</v>
      </c>
      <c r="L67" s="11" t="s">
        <v>39</v>
      </c>
      <c r="N67" s="17"/>
    </row>
    <row r="68">
      <c r="A68" s="9">
        <v>45930.69413954861</v>
      </c>
      <c r="B68" s="11" t="s">
        <v>69</v>
      </c>
      <c r="C68" s="11" t="s">
        <v>340</v>
      </c>
      <c r="D68" s="12">
        <v>8.0</v>
      </c>
      <c r="E68" s="12">
        <v>9.0</v>
      </c>
      <c r="F68" s="12">
        <v>8.2</v>
      </c>
      <c r="G68" s="12">
        <v>12.0</v>
      </c>
      <c r="H68" s="12">
        <v>6.0</v>
      </c>
      <c r="I68" s="12">
        <v>8.0</v>
      </c>
      <c r="J68" s="12">
        <v>51.2</v>
      </c>
      <c r="K68" s="11" t="s">
        <v>38</v>
      </c>
      <c r="L68" s="11" t="s">
        <v>39</v>
      </c>
      <c r="N68" s="17"/>
    </row>
    <row r="69">
      <c r="A69" s="9">
        <v>45930.69671010417</v>
      </c>
      <c r="B69" s="11" t="s">
        <v>69</v>
      </c>
      <c r="C69" s="11" t="s">
        <v>341</v>
      </c>
      <c r="D69" s="12">
        <v>14.399999999999999</v>
      </c>
      <c r="E69" s="12">
        <v>10.600000000000001</v>
      </c>
      <c r="F69" s="12">
        <v>10.0</v>
      </c>
      <c r="G69" s="12">
        <v>14.399999999999999</v>
      </c>
      <c r="H69" s="12">
        <v>9.0</v>
      </c>
      <c r="I69" s="12">
        <v>10.0</v>
      </c>
      <c r="J69" s="12">
        <v>68.4</v>
      </c>
      <c r="K69" s="11" t="s">
        <v>212</v>
      </c>
      <c r="L69" s="11" t="s">
        <v>212</v>
      </c>
      <c r="N69" s="17"/>
    </row>
    <row r="70">
      <c r="A70" s="9">
        <v>45930.69947078703</v>
      </c>
      <c r="B70" s="11" t="s">
        <v>95</v>
      </c>
      <c r="C70" s="11" t="s">
        <v>310</v>
      </c>
      <c r="D70" s="12">
        <v>16.4</v>
      </c>
      <c r="E70" s="12">
        <v>12.0</v>
      </c>
      <c r="F70" s="12">
        <v>11.200000000000001</v>
      </c>
      <c r="G70" s="12">
        <v>13.600000000000001</v>
      </c>
      <c r="H70" s="12">
        <v>12.0</v>
      </c>
      <c r="I70" s="12">
        <v>12.0</v>
      </c>
      <c r="J70" s="12">
        <v>77.2</v>
      </c>
      <c r="K70" s="11" t="s">
        <v>51</v>
      </c>
      <c r="L70" s="11" t="s">
        <v>39</v>
      </c>
      <c r="N70" s="17"/>
    </row>
    <row r="71">
      <c r="A71" s="9">
        <v>45930.70062340278</v>
      </c>
      <c r="B71" s="11" t="s">
        <v>69</v>
      </c>
      <c r="C71" s="11" t="s">
        <v>342</v>
      </c>
      <c r="D71" s="12">
        <v>13.399999999999999</v>
      </c>
      <c r="E71" s="12">
        <v>10.600000000000001</v>
      </c>
      <c r="F71" s="12">
        <v>9.0</v>
      </c>
      <c r="G71" s="12">
        <v>14.399999999999999</v>
      </c>
      <c r="H71" s="12">
        <v>9.0</v>
      </c>
      <c r="I71" s="12">
        <v>12.0</v>
      </c>
      <c r="J71" s="12">
        <v>68.4</v>
      </c>
      <c r="K71" s="11" t="s">
        <v>38</v>
      </c>
      <c r="L71" s="11" t="s">
        <v>52</v>
      </c>
      <c r="N71" s="17"/>
    </row>
    <row r="72">
      <c r="A72" s="9">
        <v>45930.70387326389</v>
      </c>
      <c r="B72" s="11" t="s">
        <v>95</v>
      </c>
      <c r="C72" s="11" t="s">
        <v>253</v>
      </c>
      <c r="D72" s="12">
        <v>16.0</v>
      </c>
      <c r="E72" s="12">
        <v>10.600000000000001</v>
      </c>
      <c r="F72" s="12">
        <v>12.0</v>
      </c>
      <c r="G72" s="12">
        <v>16.0</v>
      </c>
      <c r="H72" s="12">
        <v>15.0</v>
      </c>
      <c r="I72" s="12">
        <v>12.0</v>
      </c>
      <c r="J72" s="12">
        <v>81.6</v>
      </c>
      <c r="K72" s="11" t="s">
        <v>53</v>
      </c>
      <c r="L72" s="11" t="s">
        <v>52</v>
      </c>
      <c r="N72" s="17"/>
    </row>
    <row r="73">
      <c r="A73" s="9">
        <v>45930.7039337037</v>
      </c>
      <c r="B73" s="11" t="s">
        <v>69</v>
      </c>
      <c r="C73" s="11" t="s">
        <v>346</v>
      </c>
      <c r="D73" s="12">
        <v>10.4</v>
      </c>
      <c r="E73" s="12">
        <v>7.6</v>
      </c>
      <c r="F73" s="12">
        <v>9.0</v>
      </c>
      <c r="G73" s="12">
        <v>9.6</v>
      </c>
      <c r="H73" s="12">
        <v>9.0</v>
      </c>
      <c r="I73" s="12">
        <v>9.0</v>
      </c>
      <c r="J73" s="12">
        <v>54.6</v>
      </c>
      <c r="K73" s="11" t="s">
        <v>212</v>
      </c>
      <c r="L73" s="11" t="s">
        <v>212</v>
      </c>
      <c r="N73" s="14" t="s">
        <v>349</v>
      </c>
    </row>
    <row r="74">
      <c r="A74" s="9">
        <v>45930.7058416088</v>
      </c>
      <c r="B74" s="11" t="s">
        <v>127</v>
      </c>
      <c r="C74" s="11" t="s">
        <v>209</v>
      </c>
      <c r="D74" s="12">
        <v>6.4</v>
      </c>
      <c r="E74" s="12">
        <v>9.0</v>
      </c>
      <c r="F74" s="12">
        <v>9.0</v>
      </c>
      <c r="G74" s="12">
        <v>8.0</v>
      </c>
      <c r="H74" s="12">
        <v>6.0</v>
      </c>
      <c r="I74" s="12">
        <v>9.0</v>
      </c>
      <c r="J74" s="12">
        <v>47.4</v>
      </c>
      <c r="K74" s="11" t="s">
        <v>53</v>
      </c>
      <c r="L74" s="11" t="s">
        <v>59</v>
      </c>
      <c r="N74" s="17"/>
    </row>
    <row r="75">
      <c r="A75" s="9">
        <v>45930.70708807871</v>
      </c>
      <c r="B75" s="11" t="s">
        <v>69</v>
      </c>
      <c r="C75" s="11" t="s">
        <v>351</v>
      </c>
      <c r="D75" s="12">
        <v>13.600000000000001</v>
      </c>
      <c r="E75" s="12">
        <v>9.0</v>
      </c>
      <c r="F75" s="12">
        <v>7.0</v>
      </c>
      <c r="G75" s="12">
        <v>12.0</v>
      </c>
      <c r="H75" s="12">
        <v>8.2</v>
      </c>
      <c r="I75" s="12">
        <v>9.0</v>
      </c>
      <c r="J75" s="12">
        <v>58.8</v>
      </c>
      <c r="K75" s="11" t="s">
        <v>212</v>
      </c>
      <c r="L75" s="11" t="s">
        <v>212</v>
      </c>
      <c r="N75" s="17"/>
    </row>
    <row r="76">
      <c r="A76" s="9">
        <v>45930.70784689815</v>
      </c>
      <c r="B76" s="11" t="s">
        <v>44</v>
      </c>
      <c r="C76" s="11" t="s">
        <v>291</v>
      </c>
      <c r="D76" s="12">
        <v>13.600000000000001</v>
      </c>
      <c r="E76" s="12">
        <v>9.0</v>
      </c>
      <c r="F76" s="12">
        <v>9.0</v>
      </c>
      <c r="G76" s="12">
        <v>12.0</v>
      </c>
      <c r="H76" s="12">
        <v>9.0</v>
      </c>
      <c r="I76" s="12">
        <v>10.0</v>
      </c>
      <c r="J76" s="12">
        <v>62.6</v>
      </c>
      <c r="K76" s="11" t="s">
        <v>53</v>
      </c>
      <c r="L76" s="11" t="s">
        <v>52</v>
      </c>
      <c r="N76" s="14" t="s">
        <v>356</v>
      </c>
    </row>
    <row r="77">
      <c r="A77" s="9">
        <v>45930.70877549768</v>
      </c>
      <c r="B77" s="11" t="s">
        <v>95</v>
      </c>
      <c r="C77" s="11" t="s">
        <v>243</v>
      </c>
      <c r="D77" s="12">
        <v>13.399999999999999</v>
      </c>
      <c r="E77" s="12">
        <v>12.0</v>
      </c>
      <c r="F77" s="12">
        <v>10.8</v>
      </c>
      <c r="G77" s="12">
        <v>16.0</v>
      </c>
      <c r="H77" s="12">
        <v>10.2</v>
      </c>
      <c r="I77" s="12">
        <v>10.0</v>
      </c>
      <c r="J77" s="12">
        <v>72.4</v>
      </c>
      <c r="K77" s="11" t="s">
        <v>53</v>
      </c>
      <c r="L77" s="11" t="s">
        <v>52</v>
      </c>
      <c r="N77" s="17"/>
    </row>
    <row r="78">
      <c r="A78" s="9">
        <v>45930.709051921294</v>
      </c>
      <c r="B78" s="11" t="s">
        <v>69</v>
      </c>
      <c r="C78" s="11" t="s">
        <v>333</v>
      </c>
      <c r="D78" s="12">
        <v>12.0</v>
      </c>
      <c r="E78" s="12">
        <v>12.0</v>
      </c>
      <c r="F78" s="12">
        <v>10.0</v>
      </c>
      <c r="G78" s="12">
        <v>12.0</v>
      </c>
      <c r="H78" s="12">
        <v>9.0</v>
      </c>
      <c r="I78" s="12">
        <v>11.0</v>
      </c>
      <c r="J78" s="12">
        <v>66.0</v>
      </c>
      <c r="K78" s="11" t="s">
        <v>212</v>
      </c>
      <c r="L78" s="11" t="s">
        <v>212</v>
      </c>
      <c r="N78" s="17"/>
    </row>
    <row r="79">
      <c r="A79" s="9">
        <v>45930.71232706019</v>
      </c>
      <c r="B79" s="11" t="s">
        <v>69</v>
      </c>
      <c r="C79" s="11" t="s">
        <v>362</v>
      </c>
      <c r="D79" s="12">
        <v>8.0</v>
      </c>
      <c r="E79" s="12">
        <v>6.0</v>
      </c>
      <c r="F79" s="12">
        <v>6.0</v>
      </c>
      <c r="G79" s="12">
        <v>10.4</v>
      </c>
      <c r="H79" s="12">
        <v>6.800000000000001</v>
      </c>
      <c r="I79" s="12">
        <v>6.0</v>
      </c>
      <c r="J79" s="12">
        <v>43.2</v>
      </c>
      <c r="K79" s="11" t="s">
        <v>212</v>
      </c>
      <c r="L79" s="11" t="s">
        <v>212</v>
      </c>
      <c r="N79" s="17"/>
    </row>
    <row r="80">
      <c r="A80" s="9">
        <v>45930.7146224537</v>
      </c>
      <c r="B80" s="11" t="s">
        <v>127</v>
      </c>
      <c r="C80" s="11" t="s">
        <v>365</v>
      </c>
      <c r="D80" s="12">
        <v>12.0</v>
      </c>
      <c r="E80" s="12">
        <v>12.0</v>
      </c>
      <c r="F80" s="12">
        <v>9.0</v>
      </c>
      <c r="G80" s="12">
        <v>12.0</v>
      </c>
      <c r="H80" s="12">
        <v>9.0</v>
      </c>
      <c r="I80" s="12">
        <v>9.0</v>
      </c>
      <c r="J80" s="12">
        <v>63.0</v>
      </c>
      <c r="K80" s="11" t="s">
        <v>53</v>
      </c>
      <c r="L80" s="11" t="s">
        <v>39</v>
      </c>
      <c r="N80" s="14" t="s">
        <v>366</v>
      </c>
    </row>
    <row r="81">
      <c r="A81" s="9">
        <v>45930.715621006944</v>
      </c>
      <c r="B81" s="11" t="s">
        <v>127</v>
      </c>
      <c r="C81" s="11" t="s">
        <v>365</v>
      </c>
      <c r="D81" s="12">
        <v>12.0</v>
      </c>
      <c r="E81" s="12">
        <v>9.0</v>
      </c>
      <c r="F81" s="12">
        <v>8.2</v>
      </c>
      <c r="G81" s="12">
        <v>9.6</v>
      </c>
      <c r="H81" s="12">
        <v>9.0</v>
      </c>
      <c r="I81" s="12">
        <v>9.0</v>
      </c>
      <c r="J81" s="12">
        <v>56.8</v>
      </c>
      <c r="K81" s="11" t="s">
        <v>53</v>
      </c>
      <c r="L81" s="11" t="s">
        <v>39</v>
      </c>
      <c r="N81" s="17"/>
    </row>
    <row r="82">
      <c r="A82" s="9">
        <v>45930.71886995371</v>
      </c>
      <c r="B82" s="11" t="s">
        <v>95</v>
      </c>
      <c r="C82" s="11" t="s">
        <v>112</v>
      </c>
      <c r="D82" s="12">
        <v>12.0</v>
      </c>
      <c r="E82" s="12">
        <v>9.0</v>
      </c>
      <c r="F82" s="12">
        <v>8.2</v>
      </c>
      <c r="G82" s="12">
        <v>16.0</v>
      </c>
      <c r="H82" s="12">
        <v>13.2</v>
      </c>
      <c r="I82" s="12">
        <v>11.0</v>
      </c>
      <c r="J82" s="12">
        <v>69.4</v>
      </c>
      <c r="K82" s="11" t="s">
        <v>53</v>
      </c>
      <c r="L82" s="11" t="s">
        <v>52</v>
      </c>
      <c r="N82" s="17"/>
    </row>
    <row r="83">
      <c r="A83" s="9">
        <v>45930.722517581016</v>
      </c>
      <c r="B83" s="11" t="s">
        <v>95</v>
      </c>
      <c r="C83" s="11" t="s">
        <v>139</v>
      </c>
      <c r="D83" s="12">
        <v>15.0</v>
      </c>
      <c r="E83" s="12">
        <v>12.0</v>
      </c>
      <c r="F83" s="12">
        <v>10.0</v>
      </c>
      <c r="G83" s="12">
        <v>13.600000000000001</v>
      </c>
      <c r="H83" s="12">
        <v>12.0</v>
      </c>
      <c r="I83" s="12">
        <v>11.0</v>
      </c>
      <c r="J83" s="12">
        <v>73.6</v>
      </c>
      <c r="K83" s="11" t="s">
        <v>53</v>
      </c>
      <c r="L83" s="11" t="s">
        <v>52</v>
      </c>
      <c r="N83" s="17"/>
    </row>
    <row r="84">
      <c r="A84" s="9">
        <v>45930.72435803241</v>
      </c>
      <c r="B84" s="11" t="s">
        <v>44</v>
      </c>
      <c r="C84" s="11" t="s">
        <v>259</v>
      </c>
      <c r="D84" s="12">
        <v>12.0</v>
      </c>
      <c r="E84" s="12">
        <v>9.0</v>
      </c>
      <c r="F84" s="12">
        <v>9.0</v>
      </c>
      <c r="G84" s="12">
        <v>12.0</v>
      </c>
      <c r="H84" s="12">
        <v>10.0</v>
      </c>
      <c r="I84" s="12">
        <v>10.0</v>
      </c>
      <c r="J84" s="12">
        <v>62.0</v>
      </c>
      <c r="K84" s="11" t="s">
        <v>53</v>
      </c>
      <c r="L84" s="11" t="s">
        <v>52</v>
      </c>
      <c r="N84" s="14" t="s">
        <v>370</v>
      </c>
    </row>
    <row r="85">
      <c r="N85" s="17"/>
    </row>
    <row r="86">
      <c r="N86" s="17"/>
    </row>
    <row r="87">
      <c r="N87" s="17"/>
    </row>
    <row r="88">
      <c r="N88" s="17"/>
    </row>
    <row r="89">
      <c r="N89" s="17"/>
    </row>
    <row r="90">
      <c r="N90" s="17"/>
    </row>
    <row r="91">
      <c r="N91" s="17"/>
    </row>
    <row r="92">
      <c r="N92" s="17"/>
    </row>
    <row r="93">
      <c r="N93" s="17"/>
    </row>
    <row r="94">
      <c r="N94" s="17"/>
    </row>
    <row r="95">
      <c r="N95" s="17"/>
    </row>
    <row r="96">
      <c r="N96" s="17"/>
    </row>
    <row r="97">
      <c r="N97" s="17"/>
    </row>
    <row r="98">
      <c r="N98" s="17"/>
    </row>
    <row r="99">
      <c r="N99" s="17"/>
    </row>
    <row r="100">
      <c r="N100" s="17"/>
    </row>
    <row r="101">
      <c r="N101" s="17"/>
    </row>
    <row r="102">
      <c r="N102" s="17"/>
    </row>
    <row r="103">
      <c r="N103" s="17"/>
    </row>
    <row r="104">
      <c r="N104" s="17"/>
    </row>
    <row r="105">
      <c r="N105" s="17"/>
    </row>
    <row r="106">
      <c r="N106" s="17"/>
    </row>
    <row r="107">
      <c r="N107" s="17"/>
    </row>
    <row r="108">
      <c r="N108" s="17"/>
    </row>
    <row r="109">
      <c r="N109" s="17"/>
    </row>
    <row r="110">
      <c r="N110" s="17"/>
    </row>
    <row r="111">
      <c r="N111" s="17"/>
    </row>
    <row r="112">
      <c r="N112" s="17"/>
    </row>
    <row r="113">
      <c r="N113" s="17"/>
    </row>
    <row r="114">
      <c r="N114" s="17"/>
    </row>
    <row r="115">
      <c r="N115" s="17"/>
    </row>
    <row r="116">
      <c r="N116" s="17"/>
    </row>
    <row r="117">
      <c r="N117" s="17"/>
    </row>
    <row r="118">
      <c r="N118" s="17"/>
    </row>
    <row r="119">
      <c r="N119" s="17"/>
    </row>
    <row r="120">
      <c r="N120" s="17"/>
    </row>
    <row r="121">
      <c r="N121" s="17"/>
    </row>
    <row r="122">
      <c r="N122" s="17"/>
    </row>
    <row r="123">
      <c r="N123" s="17"/>
    </row>
    <row r="124">
      <c r="N124" s="17"/>
    </row>
    <row r="125">
      <c r="N125" s="17"/>
    </row>
    <row r="126">
      <c r="N126" s="17"/>
    </row>
    <row r="127">
      <c r="N127" s="17"/>
    </row>
    <row r="128">
      <c r="N128" s="17"/>
    </row>
    <row r="129">
      <c r="N129" s="17"/>
    </row>
    <row r="130">
      <c r="N130" s="17"/>
    </row>
    <row r="131">
      <c r="N131" s="17"/>
    </row>
    <row r="132">
      <c r="N132" s="17"/>
    </row>
    <row r="133">
      <c r="N133" s="17"/>
    </row>
    <row r="134">
      <c r="N134" s="17"/>
    </row>
    <row r="135">
      <c r="N135" s="17"/>
    </row>
    <row r="136">
      <c r="N136" s="17"/>
    </row>
    <row r="137">
      <c r="N137" s="17"/>
    </row>
    <row r="138">
      <c r="N138" s="17"/>
    </row>
    <row r="139">
      <c r="N139" s="17"/>
    </row>
    <row r="140">
      <c r="N140" s="17"/>
    </row>
    <row r="141">
      <c r="N141" s="17"/>
    </row>
    <row r="142">
      <c r="N142" s="17"/>
    </row>
    <row r="143">
      <c r="N143" s="17"/>
    </row>
    <row r="144">
      <c r="N144" s="17"/>
    </row>
    <row r="145">
      <c r="N145" s="17"/>
    </row>
    <row r="146">
      <c r="N146" s="17"/>
    </row>
    <row r="147">
      <c r="N147" s="17"/>
    </row>
    <row r="148">
      <c r="N148" s="17"/>
    </row>
    <row r="149">
      <c r="N149" s="17"/>
    </row>
    <row r="150">
      <c r="N150" s="17"/>
    </row>
    <row r="151">
      <c r="N151" s="17"/>
    </row>
    <row r="152">
      <c r="N152" s="17"/>
    </row>
    <row r="153">
      <c r="N153" s="17"/>
    </row>
    <row r="154">
      <c r="N154" s="17"/>
    </row>
    <row r="155">
      <c r="N155" s="17"/>
    </row>
    <row r="156">
      <c r="N156" s="17"/>
    </row>
    <row r="157">
      <c r="N157" s="17"/>
    </row>
    <row r="158">
      <c r="N158" s="17"/>
    </row>
    <row r="159">
      <c r="N159" s="17"/>
    </row>
    <row r="160">
      <c r="N160" s="17"/>
    </row>
    <row r="161">
      <c r="N161" s="17"/>
    </row>
    <row r="162">
      <c r="N162" s="17"/>
    </row>
    <row r="163">
      <c r="N163" s="17"/>
    </row>
    <row r="164">
      <c r="N164" s="17"/>
    </row>
    <row r="165">
      <c r="N165" s="17"/>
    </row>
    <row r="166">
      <c r="N166" s="17"/>
    </row>
    <row r="167">
      <c r="N167" s="17"/>
    </row>
    <row r="168">
      <c r="N168" s="17"/>
    </row>
    <row r="169">
      <c r="N169" s="17"/>
    </row>
    <row r="170">
      <c r="N170" s="17"/>
    </row>
    <row r="171">
      <c r="N171" s="17"/>
    </row>
    <row r="172">
      <c r="N172" s="17"/>
    </row>
    <row r="173">
      <c r="N173" s="17"/>
    </row>
    <row r="174">
      <c r="N174" s="17"/>
    </row>
    <row r="175">
      <c r="N175" s="17"/>
    </row>
    <row r="176">
      <c r="N176" s="17"/>
    </row>
    <row r="177">
      <c r="N177" s="17"/>
    </row>
    <row r="178">
      <c r="N178" s="17"/>
    </row>
    <row r="179">
      <c r="N179" s="17"/>
    </row>
    <row r="180">
      <c r="N180" s="17"/>
    </row>
    <row r="181">
      <c r="N181" s="17"/>
    </row>
    <row r="182">
      <c r="N182" s="17"/>
    </row>
    <row r="183">
      <c r="N183" s="17"/>
    </row>
    <row r="184">
      <c r="N184" s="17"/>
    </row>
    <row r="185">
      <c r="N185" s="17"/>
    </row>
    <row r="186">
      <c r="N186" s="17"/>
    </row>
    <row r="187">
      <c r="N187" s="17"/>
    </row>
    <row r="188">
      <c r="N188" s="17"/>
    </row>
    <row r="189">
      <c r="N189" s="17"/>
    </row>
    <row r="190">
      <c r="N190" s="17"/>
    </row>
    <row r="191">
      <c r="N191" s="17"/>
    </row>
    <row r="192">
      <c r="N192" s="17"/>
    </row>
    <row r="193">
      <c r="N193" s="17"/>
    </row>
    <row r="194">
      <c r="N194" s="17"/>
    </row>
    <row r="195">
      <c r="N195" s="17"/>
    </row>
    <row r="196">
      <c r="N196" s="17"/>
    </row>
    <row r="197">
      <c r="N197" s="17"/>
    </row>
    <row r="198">
      <c r="N198" s="17"/>
    </row>
    <row r="199">
      <c r="N199" s="17"/>
    </row>
    <row r="200">
      <c r="N200" s="17"/>
    </row>
    <row r="201">
      <c r="N201" s="17"/>
    </row>
    <row r="202">
      <c r="N202" s="17"/>
    </row>
    <row r="203">
      <c r="N203" s="17"/>
    </row>
    <row r="204">
      <c r="N204" s="17"/>
    </row>
    <row r="205">
      <c r="N205" s="17"/>
    </row>
    <row r="206">
      <c r="N206" s="17"/>
    </row>
    <row r="207">
      <c r="N207" s="17"/>
    </row>
    <row r="208">
      <c r="N208" s="17"/>
    </row>
    <row r="209">
      <c r="N209" s="17"/>
    </row>
    <row r="210">
      <c r="N210" s="17"/>
    </row>
    <row r="211">
      <c r="N211" s="17"/>
    </row>
    <row r="212">
      <c r="N212" s="17"/>
    </row>
    <row r="213">
      <c r="N213" s="17"/>
    </row>
    <row r="214">
      <c r="N214" s="17"/>
    </row>
    <row r="215">
      <c r="N215" s="17"/>
    </row>
    <row r="216">
      <c r="N216" s="17"/>
    </row>
    <row r="217">
      <c r="N217" s="17"/>
    </row>
    <row r="218">
      <c r="N218" s="17"/>
    </row>
    <row r="219">
      <c r="N219" s="17"/>
    </row>
    <row r="220">
      <c r="N220" s="17"/>
    </row>
    <row r="221">
      <c r="N221" s="17"/>
    </row>
    <row r="222">
      <c r="N222" s="17"/>
    </row>
    <row r="223">
      <c r="N223" s="17"/>
    </row>
    <row r="224">
      <c r="N224" s="17"/>
    </row>
    <row r="225">
      <c r="N225" s="17"/>
    </row>
    <row r="226">
      <c r="N226" s="17"/>
    </row>
    <row r="227">
      <c r="N227" s="17"/>
    </row>
    <row r="228">
      <c r="N228" s="17"/>
    </row>
    <row r="229">
      <c r="N229" s="17"/>
    </row>
    <row r="230">
      <c r="N230" s="17"/>
    </row>
    <row r="231">
      <c r="N231" s="17"/>
    </row>
    <row r="232">
      <c r="N232" s="17"/>
    </row>
    <row r="233">
      <c r="N233" s="17"/>
    </row>
    <row r="234">
      <c r="N234" s="17"/>
    </row>
    <row r="235">
      <c r="N235" s="17"/>
    </row>
    <row r="236">
      <c r="N236" s="17"/>
    </row>
    <row r="237">
      <c r="N237" s="17"/>
    </row>
    <row r="238">
      <c r="N238" s="17"/>
    </row>
    <row r="239">
      <c r="N239" s="17"/>
    </row>
    <row r="240">
      <c r="N240" s="17"/>
    </row>
    <row r="241">
      <c r="N241" s="17"/>
    </row>
    <row r="242">
      <c r="N242" s="17"/>
    </row>
    <row r="243">
      <c r="N243" s="17"/>
    </row>
    <row r="244">
      <c r="N244" s="17"/>
    </row>
    <row r="245">
      <c r="N245" s="17"/>
    </row>
    <row r="246">
      <c r="N246" s="17"/>
    </row>
    <row r="247">
      <c r="N247" s="17"/>
    </row>
    <row r="248">
      <c r="N248" s="17"/>
    </row>
    <row r="249">
      <c r="N249" s="17"/>
    </row>
    <row r="250">
      <c r="N250" s="17"/>
    </row>
    <row r="251">
      <c r="N251" s="17"/>
    </row>
    <row r="252">
      <c r="N252" s="17"/>
    </row>
    <row r="253">
      <c r="N253" s="17"/>
    </row>
    <row r="254">
      <c r="N254" s="17"/>
    </row>
    <row r="255">
      <c r="N255" s="17"/>
    </row>
    <row r="256">
      <c r="N256" s="17"/>
    </row>
    <row r="257">
      <c r="N257" s="17"/>
    </row>
    <row r="258">
      <c r="N258" s="17"/>
    </row>
    <row r="259">
      <c r="N259" s="17"/>
    </row>
    <row r="260">
      <c r="N260" s="17"/>
    </row>
    <row r="261">
      <c r="N261" s="17"/>
    </row>
    <row r="262">
      <c r="N262" s="17"/>
    </row>
    <row r="263">
      <c r="N263" s="17"/>
    </row>
    <row r="264">
      <c r="N264" s="17"/>
    </row>
    <row r="265">
      <c r="N265" s="17"/>
    </row>
    <row r="266">
      <c r="N266" s="17"/>
    </row>
    <row r="267">
      <c r="N267" s="17"/>
    </row>
    <row r="268">
      <c r="N268" s="17"/>
    </row>
    <row r="269">
      <c r="N269" s="17"/>
    </row>
    <row r="270">
      <c r="N270" s="17"/>
    </row>
    <row r="271">
      <c r="N271" s="17"/>
    </row>
    <row r="272">
      <c r="N272" s="17"/>
    </row>
    <row r="273">
      <c r="N273" s="17"/>
    </row>
    <row r="274">
      <c r="N274" s="17"/>
    </row>
    <row r="275">
      <c r="N275" s="17"/>
    </row>
    <row r="276">
      <c r="N276" s="17"/>
    </row>
    <row r="277">
      <c r="N277" s="17"/>
    </row>
    <row r="278">
      <c r="N278" s="17"/>
    </row>
    <row r="279">
      <c r="N279" s="17"/>
    </row>
    <row r="280">
      <c r="N280" s="17"/>
    </row>
    <row r="281">
      <c r="N281" s="17"/>
    </row>
    <row r="282">
      <c r="N282" s="17"/>
    </row>
    <row r="283">
      <c r="N283" s="17"/>
    </row>
    <row r="284">
      <c r="N284" s="17"/>
    </row>
    <row r="285">
      <c r="N285" s="17"/>
    </row>
    <row r="286">
      <c r="N286" s="17"/>
    </row>
    <row r="287">
      <c r="N287" s="17"/>
    </row>
    <row r="288">
      <c r="N288" s="17"/>
    </row>
    <row r="289">
      <c r="N289" s="17"/>
    </row>
    <row r="290">
      <c r="N290" s="17"/>
    </row>
    <row r="291">
      <c r="N291" s="17"/>
    </row>
    <row r="292">
      <c r="N292" s="17"/>
    </row>
    <row r="293">
      <c r="N293" s="17"/>
    </row>
    <row r="294">
      <c r="N294" s="17"/>
    </row>
    <row r="295">
      <c r="N295" s="17"/>
    </row>
    <row r="296">
      <c r="N296" s="17"/>
    </row>
    <row r="297">
      <c r="N297" s="17"/>
    </row>
    <row r="298">
      <c r="N298" s="17"/>
    </row>
    <row r="299">
      <c r="N299" s="17"/>
    </row>
    <row r="300">
      <c r="N300" s="17"/>
    </row>
    <row r="301">
      <c r="N301" s="17"/>
    </row>
    <row r="302">
      <c r="N302" s="17"/>
    </row>
    <row r="303">
      <c r="N303" s="17"/>
    </row>
    <row r="304">
      <c r="N304" s="17"/>
    </row>
    <row r="305">
      <c r="N305" s="17"/>
    </row>
    <row r="306">
      <c r="N306" s="17"/>
    </row>
    <row r="307">
      <c r="N307" s="17"/>
    </row>
    <row r="308">
      <c r="N308" s="17"/>
    </row>
    <row r="309">
      <c r="N309" s="17"/>
    </row>
    <row r="310">
      <c r="N310" s="17"/>
    </row>
    <row r="311">
      <c r="N311" s="17"/>
    </row>
    <row r="312">
      <c r="N312" s="17"/>
    </row>
    <row r="313">
      <c r="N313" s="17"/>
    </row>
    <row r="314">
      <c r="N314" s="17"/>
    </row>
    <row r="315">
      <c r="N315" s="17"/>
    </row>
    <row r="316">
      <c r="N316" s="17"/>
    </row>
    <row r="317">
      <c r="N317" s="17"/>
    </row>
    <row r="318">
      <c r="N318" s="17"/>
    </row>
    <row r="319">
      <c r="N319" s="17"/>
    </row>
    <row r="320">
      <c r="N320" s="17"/>
    </row>
    <row r="321">
      <c r="N321" s="17"/>
    </row>
    <row r="322">
      <c r="N322" s="17"/>
    </row>
    <row r="323">
      <c r="N323" s="17"/>
    </row>
    <row r="324">
      <c r="N324" s="17"/>
    </row>
    <row r="325">
      <c r="N325" s="17"/>
    </row>
    <row r="326">
      <c r="N326" s="17"/>
    </row>
    <row r="327">
      <c r="N327" s="17"/>
    </row>
    <row r="328">
      <c r="N328" s="17"/>
    </row>
    <row r="329">
      <c r="N329" s="17"/>
    </row>
    <row r="330">
      <c r="N330" s="17"/>
    </row>
    <row r="331">
      <c r="N331" s="17"/>
    </row>
    <row r="332">
      <c r="N332" s="17"/>
    </row>
    <row r="333">
      <c r="N333" s="17"/>
    </row>
    <row r="334">
      <c r="N334" s="17"/>
    </row>
    <row r="335">
      <c r="N335" s="17"/>
    </row>
    <row r="336">
      <c r="N336" s="17"/>
    </row>
    <row r="337">
      <c r="N337" s="17"/>
    </row>
    <row r="338">
      <c r="N338" s="17"/>
    </row>
    <row r="339">
      <c r="N339" s="17"/>
    </row>
    <row r="340">
      <c r="N340" s="17"/>
    </row>
    <row r="341">
      <c r="N341" s="17"/>
    </row>
    <row r="342">
      <c r="N342" s="17"/>
    </row>
    <row r="343">
      <c r="N343" s="17"/>
    </row>
    <row r="344">
      <c r="N344" s="17"/>
    </row>
    <row r="345">
      <c r="N345" s="17"/>
    </row>
    <row r="346">
      <c r="N346" s="17"/>
    </row>
    <row r="347">
      <c r="N347" s="17"/>
    </row>
    <row r="348">
      <c r="N348" s="17"/>
    </row>
    <row r="349">
      <c r="N349" s="17"/>
    </row>
    <row r="350">
      <c r="N350" s="17"/>
    </row>
    <row r="351">
      <c r="N351" s="17"/>
    </row>
    <row r="352">
      <c r="N352" s="17"/>
    </row>
    <row r="353">
      <c r="N353" s="17"/>
    </row>
    <row r="354">
      <c r="N354" s="17"/>
    </row>
    <row r="355">
      <c r="N355" s="17"/>
    </row>
    <row r="356">
      <c r="N356" s="17"/>
    </row>
    <row r="357">
      <c r="N357" s="17"/>
    </row>
    <row r="358">
      <c r="N358" s="17"/>
    </row>
    <row r="359">
      <c r="N359" s="17"/>
    </row>
    <row r="360">
      <c r="N360" s="17"/>
    </row>
    <row r="361">
      <c r="N361" s="17"/>
    </row>
    <row r="362">
      <c r="N362" s="17"/>
    </row>
    <row r="363">
      <c r="N363" s="17"/>
    </row>
    <row r="364">
      <c r="N364" s="17"/>
    </row>
    <row r="365">
      <c r="N365" s="17"/>
    </row>
    <row r="366">
      <c r="N366" s="17"/>
    </row>
    <row r="367">
      <c r="N367" s="17"/>
    </row>
    <row r="368">
      <c r="N368" s="17"/>
    </row>
    <row r="369">
      <c r="N369" s="17"/>
    </row>
    <row r="370">
      <c r="N370" s="17"/>
    </row>
    <row r="371">
      <c r="N371" s="17"/>
    </row>
    <row r="372">
      <c r="N372" s="17"/>
    </row>
    <row r="373">
      <c r="N373" s="17"/>
    </row>
    <row r="374">
      <c r="N374" s="17"/>
    </row>
    <row r="375">
      <c r="N375" s="17"/>
    </row>
    <row r="376">
      <c r="N376" s="17"/>
    </row>
    <row r="377">
      <c r="N377" s="17"/>
    </row>
    <row r="378">
      <c r="N378" s="17"/>
    </row>
    <row r="379">
      <c r="N379" s="17"/>
    </row>
    <row r="380">
      <c r="N380" s="17"/>
    </row>
    <row r="381">
      <c r="N381" s="17"/>
    </row>
    <row r="382">
      <c r="N382" s="17"/>
    </row>
    <row r="383">
      <c r="N383" s="17"/>
    </row>
    <row r="384">
      <c r="N384" s="17"/>
    </row>
    <row r="385">
      <c r="N385" s="17"/>
    </row>
    <row r="386">
      <c r="N386" s="17"/>
    </row>
    <row r="387">
      <c r="N387" s="17"/>
    </row>
    <row r="388">
      <c r="N388" s="17"/>
    </row>
    <row r="389">
      <c r="N389" s="17"/>
    </row>
    <row r="390">
      <c r="N390" s="17"/>
    </row>
    <row r="391">
      <c r="N391" s="17"/>
    </row>
    <row r="392">
      <c r="N392" s="17"/>
    </row>
    <row r="393">
      <c r="N393" s="17"/>
    </row>
    <row r="394">
      <c r="N394" s="17"/>
    </row>
    <row r="395">
      <c r="N395" s="17"/>
    </row>
    <row r="396">
      <c r="N396" s="17"/>
    </row>
    <row r="397">
      <c r="N397" s="17"/>
    </row>
    <row r="398">
      <c r="N398" s="17"/>
    </row>
    <row r="399">
      <c r="N399" s="17"/>
    </row>
    <row r="400">
      <c r="N400" s="17"/>
    </row>
    <row r="401">
      <c r="N401" s="17"/>
    </row>
    <row r="402">
      <c r="N402" s="17"/>
    </row>
    <row r="403">
      <c r="N403" s="17"/>
    </row>
    <row r="404">
      <c r="N404" s="17"/>
    </row>
    <row r="405">
      <c r="N405" s="17"/>
    </row>
    <row r="406">
      <c r="N406" s="17"/>
    </row>
    <row r="407">
      <c r="N407" s="17"/>
    </row>
    <row r="408">
      <c r="N408" s="17"/>
    </row>
    <row r="409">
      <c r="N409" s="17"/>
    </row>
    <row r="410">
      <c r="N410" s="17"/>
    </row>
    <row r="411">
      <c r="N411" s="17"/>
    </row>
    <row r="412">
      <c r="N412" s="17"/>
    </row>
    <row r="413">
      <c r="N413" s="17"/>
    </row>
    <row r="414">
      <c r="N414" s="17"/>
    </row>
    <row r="415">
      <c r="N415" s="17"/>
    </row>
    <row r="416">
      <c r="N416" s="17"/>
    </row>
    <row r="417">
      <c r="N417" s="17"/>
    </row>
    <row r="418">
      <c r="N418" s="17"/>
    </row>
    <row r="419">
      <c r="N419" s="17"/>
    </row>
    <row r="420">
      <c r="N420" s="17"/>
    </row>
    <row r="421">
      <c r="N421" s="17"/>
    </row>
    <row r="422">
      <c r="N422" s="17"/>
    </row>
    <row r="423">
      <c r="N423" s="17"/>
    </row>
    <row r="424">
      <c r="N424" s="17"/>
    </row>
    <row r="425">
      <c r="N425" s="17"/>
    </row>
    <row r="426">
      <c r="N426" s="17"/>
    </row>
    <row r="427">
      <c r="N427" s="17"/>
    </row>
    <row r="428">
      <c r="N428" s="17"/>
    </row>
    <row r="429">
      <c r="N429" s="17"/>
    </row>
    <row r="430">
      <c r="N430" s="17"/>
    </row>
    <row r="431">
      <c r="N431" s="17"/>
    </row>
    <row r="432">
      <c r="N432" s="17"/>
    </row>
    <row r="433">
      <c r="N433" s="17"/>
    </row>
    <row r="434">
      <c r="N434" s="17"/>
    </row>
    <row r="435">
      <c r="N435" s="17"/>
    </row>
    <row r="436">
      <c r="N436" s="17"/>
    </row>
    <row r="437">
      <c r="N437" s="17"/>
    </row>
    <row r="438">
      <c r="N438" s="17"/>
    </row>
    <row r="439">
      <c r="N439" s="17"/>
    </row>
    <row r="440">
      <c r="N440" s="17"/>
    </row>
    <row r="441">
      <c r="N441" s="17"/>
    </row>
    <row r="442">
      <c r="N442" s="17"/>
    </row>
    <row r="443">
      <c r="N443" s="17"/>
    </row>
    <row r="444">
      <c r="N444" s="17"/>
    </row>
    <row r="445">
      <c r="N445" s="17"/>
    </row>
    <row r="446">
      <c r="N446" s="17"/>
    </row>
    <row r="447">
      <c r="N447" s="17"/>
    </row>
    <row r="448">
      <c r="N448" s="17"/>
    </row>
    <row r="449">
      <c r="N449" s="17"/>
    </row>
    <row r="450">
      <c r="N450" s="17"/>
    </row>
    <row r="451">
      <c r="N451" s="17"/>
    </row>
    <row r="452">
      <c r="N452" s="17"/>
    </row>
    <row r="453">
      <c r="N453" s="17"/>
    </row>
    <row r="454">
      <c r="N454" s="17"/>
    </row>
    <row r="455">
      <c r="N455" s="17"/>
    </row>
    <row r="456">
      <c r="N456" s="17"/>
    </row>
    <row r="457">
      <c r="N457" s="17"/>
    </row>
    <row r="458">
      <c r="N458" s="17"/>
    </row>
    <row r="459">
      <c r="N459" s="17"/>
    </row>
    <row r="460">
      <c r="N460" s="17"/>
    </row>
    <row r="461">
      <c r="N461" s="17"/>
    </row>
    <row r="462">
      <c r="N462" s="17"/>
    </row>
    <row r="463">
      <c r="N463" s="17"/>
    </row>
    <row r="464">
      <c r="N464" s="17"/>
    </row>
    <row r="465">
      <c r="N465" s="17"/>
    </row>
    <row r="466">
      <c r="N466" s="17"/>
    </row>
    <row r="467">
      <c r="N467" s="17"/>
    </row>
    <row r="468">
      <c r="N468" s="17"/>
    </row>
    <row r="469">
      <c r="N469" s="17"/>
    </row>
    <row r="470">
      <c r="N470" s="17"/>
    </row>
    <row r="471">
      <c r="N471" s="17"/>
    </row>
    <row r="472">
      <c r="N472" s="17"/>
    </row>
    <row r="473">
      <c r="N473" s="17"/>
    </row>
    <row r="474">
      <c r="N474" s="17"/>
    </row>
    <row r="475">
      <c r="N475" s="17"/>
    </row>
    <row r="476">
      <c r="N476" s="17"/>
    </row>
    <row r="477">
      <c r="N477" s="17"/>
    </row>
    <row r="478">
      <c r="N478" s="17"/>
    </row>
    <row r="479">
      <c r="N479" s="17"/>
    </row>
    <row r="480">
      <c r="N480" s="17"/>
    </row>
    <row r="481">
      <c r="N481" s="17"/>
    </row>
    <row r="482">
      <c r="N482" s="17"/>
    </row>
    <row r="483">
      <c r="N483" s="17"/>
    </row>
    <row r="484">
      <c r="N484" s="17"/>
    </row>
    <row r="485">
      <c r="N485" s="17"/>
    </row>
    <row r="486">
      <c r="N486" s="17"/>
    </row>
    <row r="487">
      <c r="N487" s="17"/>
    </row>
    <row r="488">
      <c r="N488" s="17"/>
    </row>
    <row r="489">
      <c r="N489" s="17"/>
    </row>
    <row r="490">
      <c r="N490" s="17"/>
    </row>
    <row r="491">
      <c r="N491" s="17"/>
    </row>
    <row r="492">
      <c r="N492" s="17"/>
    </row>
    <row r="493">
      <c r="N493" s="17"/>
    </row>
    <row r="494">
      <c r="N494" s="17"/>
    </row>
    <row r="495">
      <c r="N495" s="17"/>
    </row>
    <row r="496">
      <c r="N496" s="17"/>
    </row>
    <row r="497">
      <c r="N497" s="17"/>
    </row>
    <row r="498">
      <c r="N498" s="17"/>
    </row>
    <row r="499">
      <c r="N499" s="17"/>
    </row>
    <row r="500">
      <c r="N500" s="17"/>
    </row>
    <row r="501">
      <c r="N501" s="17"/>
    </row>
    <row r="502">
      <c r="N502" s="17"/>
    </row>
    <row r="503">
      <c r="N503" s="17"/>
    </row>
    <row r="504">
      <c r="N504" s="17"/>
    </row>
    <row r="505">
      <c r="N505" s="17"/>
    </row>
    <row r="506">
      <c r="N506" s="17"/>
    </row>
    <row r="507">
      <c r="N507" s="17"/>
    </row>
    <row r="508">
      <c r="N508" s="17"/>
    </row>
    <row r="509">
      <c r="N509" s="17"/>
    </row>
    <row r="510">
      <c r="N510" s="17"/>
    </row>
    <row r="511">
      <c r="N511" s="17"/>
    </row>
    <row r="512">
      <c r="N512" s="17"/>
    </row>
    <row r="513">
      <c r="N513" s="17"/>
    </row>
    <row r="514">
      <c r="N514" s="17"/>
    </row>
    <row r="515">
      <c r="N515" s="17"/>
    </row>
    <row r="516">
      <c r="N516" s="17"/>
    </row>
    <row r="517">
      <c r="N517" s="17"/>
    </row>
    <row r="518">
      <c r="N518" s="17"/>
    </row>
    <row r="519">
      <c r="N519" s="17"/>
    </row>
    <row r="520">
      <c r="N520" s="17"/>
    </row>
    <row r="521">
      <c r="N521" s="17"/>
    </row>
    <row r="522">
      <c r="N522" s="17"/>
    </row>
    <row r="523">
      <c r="N523" s="17"/>
    </row>
    <row r="524">
      <c r="N524" s="17"/>
    </row>
    <row r="525">
      <c r="N525" s="17"/>
    </row>
    <row r="526">
      <c r="N526" s="17"/>
    </row>
    <row r="527">
      <c r="N527" s="17"/>
    </row>
    <row r="528">
      <c r="N528" s="17"/>
    </row>
    <row r="529">
      <c r="N529" s="17"/>
    </row>
    <row r="530">
      <c r="N530" s="17"/>
    </row>
    <row r="531">
      <c r="N531" s="17"/>
    </row>
    <row r="532">
      <c r="N532" s="17"/>
    </row>
    <row r="533">
      <c r="N533" s="17"/>
    </row>
    <row r="534">
      <c r="N534" s="17"/>
    </row>
    <row r="535">
      <c r="N535" s="17"/>
    </row>
    <row r="536">
      <c r="N536" s="17"/>
    </row>
    <row r="537">
      <c r="N537" s="17"/>
    </row>
    <row r="538">
      <c r="N538" s="17"/>
    </row>
    <row r="539">
      <c r="N539" s="17"/>
    </row>
    <row r="540">
      <c r="N540" s="17"/>
    </row>
    <row r="541">
      <c r="N541" s="17"/>
    </row>
    <row r="542">
      <c r="N542" s="17"/>
    </row>
    <row r="543">
      <c r="N543" s="17"/>
    </row>
    <row r="544">
      <c r="N544" s="17"/>
    </row>
    <row r="545">
      <c r="N545" s="17"/>
    </row>
    <row r="546">
      <c r="N546" s="17"/>
    </row>
    <row r="547">
      <c r="N547" s="17"/>
    </row>
    <row r="548">
      <c r="N548" s="17"/>
    </row>
    <row r="549">
      <c r="N549" s="17"/>
    </row>
    <row r="550">
      <c r="N550" s="17"/>
    </row>
    <row r="551">
      <c r="N551" s="17"/>
    </row>
    <row r="552">
      <c r="N552" s="17"/>
    </row>
    <row r="553">
      <c r="N553" s="17"/>
    </row>
    <row r="554">
      <c r="N554" s="17"/>
    </row>
    <row r="555">
      <c r="N555" s="17"/>
    </row>
    <row r="556">
      <c r="N556" s="17"/>
    </row>
    <row r="557">
      <c r="N557" s="17"/>
    </row>
    <row r="558">
      <c r="N558" s="17"/>
    </row>
    <row r="559">
      <c r="N559" s="17"/>
    </row>
    <row r="560">
      <c r="N560" s="17"/>
    </row>
    <row r="561">
      <c r="N561" s="17"/>
    </row>
    <row r="562">
      <c r="N562" s="17"/>
    </row>
    <row r="563">
      <c r="N563" s="17"/>
    </row>
    <row r="564">
      <c r="N564" s="17"/>
    </row>
    <row r="565">
      <c r="N565" s="17"/>
    </row>
    <row r="566">
      <c r="N566" s="17"/>
    </row>
    <row r="567">
      <c r="N567" s="17"/>
    </row>
    <row r="568">
      <c r="N568" s="17"/>
    </row>
    <row r="569">
      <c r="N569" s="17"/>
    </row>
    <row r="570">
      <c r="N570" s="17"/>
    </row>
    <row r="571">
      <c r="N571" s="17"/>
    </row>
    <row r="572">
      <c r="N572" s="17"/>
    </row>
    <row r="573">
      <c r="N573" s="17"/>
    </row>
    <row r="574">
      <c r="N574" s="17"/>
    </row>
    <row r="575">
      <c r="N575" s="17"/>
    </row>
    <row r="576">
      <c r="N576" s="17"/>
    </row>
    <row r="577">
      <c r="N577" s="17"/>
    </row>
    <row r="578">
      <c r="N578" s="17"/>
    </row>
    <row r="579">
      <c r="N579" s="17"/>
    </row>
    <row r="580">
      <c r="N580" s="17"/>
    </row>
    <row r="581">
      <c r="N581" s="17"/>
    </row>
    <row r="582">
      <c r="N582" s="17"/>
    </row>
    <row r="583">
      <c r="N583" s="17"/>
    </row>
    <row r="584">
      <c r="N584" s="17"/>
    </row>
    <row r="585">
      <c r="N585" s="17"/>
    </row>
    <row r="586">
      <c r="N586" s="17"/>
    </row>
    <row r="587">
      <c r="N587" s="17"/>
    </row>
    <row r="588">
      <c r="N588" s="17"/>
    </row>
    <row r="589">
      <c r="N589" s="17"/>
    </row>
    <row r="590">
      <c r="N590" s="17"/>
    </row>
    <row r="591">
      <c r="N591" s="17"/>
    </row>
    <row r="592">
      <c r="N592" s="17"/>
    </row>
    <row r="593">
      <c r="N593" s="17"/>
    </row>
    <row r="594">
      <c r="N594" s="17"/>
    </row>
    <row r="595">
      <c r="N595" s="17"/>
    </row>
    <row r="596">
      <c r="N596" s="17"/>
    </row>
    <row r="597">
      <c r="N597" s="17"/>
    </row>
    <row r="598">
      <c r="N598" s="17"/>
    </row>
    <row r="599">
      <c r="N599" s="17"/>
    </row>
    <row r="600">
      <c r="N600" s="17"/>
    </row>
    <row r="601">
      <c r="N601" s="17"/>
    </row>
    <row r="602">
      <c r="N602" s="17"/>
    </row>
    <row r="603">
      <c r="N603" s="17"/>
    </row>
    <row r="604">
      <c r="N604" s="17"/>
    </row>
    <row r="605">
      <c r="N605" s="17"/>
    </row>
    <row r="606">
      <c r="N606" s="17"/>
    </row>
    <row r="607">
      <c r="N607" s="17"/>
    </row>
    <row r="608">
      <c r="N608" s="17"/>
    </row>
    <row r="609">
      <c r="N609" s="17"/>
    </row>
    <row r="610">
      <c r="N610" s="17"/>
    </row>
    <row r="611">
      <c r="N611" s="17"/>
    </row>
    <row r="612">
      <c r="N612" s="17"/>
    </row>
    <row r="613">
      <c r="N613" s="17"/>
    </row>
    <row r="614">
      <c r="N614" s="17"/>
    </row>
    <row r="615">
      <c r="N615" s="17"/>
    </row>
    <row r="616">
      <c r="N616" s="17"/>
    </row>
    <row r="617">
      <c r="N617" s="17"/>
    </row>
    <row r="618">
      <c r="N618" s="17"/>
    </row>
    <row r="619">
      <c r="N619" s="17"/>
    </row>
    <row r="620">
      <c r="N620" s="17"/>
    </row>
    <row r="621">
      <c r="N621" s="17"/>
    </row>
    <row r="622">
      <c r="N622" s="17"/>
    </row>
    <row r="623">
      <c r="N623" s="17"/>
    </row>
    <row r="624">
      <c r="N624" s="17"/>
    </row>
    <row r="625">
      <c r="N625" s="17"/>
    </row>
    <row r="626">
      <c r="N626" s="17"/>
    </row>
    <row r="627">
      <c r="N627" s="17"/>
    </row>
    <row r="628">
      <c r="N628" s="17"/>
    </row>
    <row r="629">
      <c r="N629" s="17"/>
    </row>
    <row r="630">
      <c r="N630" s="17"/>
    </row>
    <row r="631">
      <c r="N631" s="17"/>
    </row>
    <row r="632">
      <c r="N632" s="17"/>
    </row>
    <row r="633">
      <c r="N633" s="17"/>
    </row>
    <row r="634">
      <c r="N634" s="17"/>
    </row>
    <row r="635">
      <c r="N635" s="17"/>
    </row>
    <row r="636">
      <c r="N636" s="17"/>
    </row>
    <row r="637">
      <c r="N637" s="17"/>
    </row>
    <row r="638">
      <c r="N638" s="17"/>
    </row>
    <row r="639">
      <c r="N639" s="17"/>
    </row>
    <row r="640">
      <c r="N640" s="17"/>
    </row>
    <row r="641">
      <c r="N641" s="17"/>
    </row>
    <row r="642">
      <c r="N642" s="17"/>
    </row>
    <row r="643">
      <c r="N643" s="17"/>
    </row>
    <row r="644">
      <c r="N644" s="17"/>
    </row>
    <row r="645">
      <c r="N645" s="17"/>
    </row>
    <row r="646">
      <c r="N646" s="17"/>
    </row>
    <row r="647">
      <c r="N647" s="17"/>
    </row>
    <row r="648">
      <c r="N648" s="17"/>
    </row>
    <row r="649">
      <c r="N649" s="17"/>
    </row>
    <row r="650">
      <c r="N650" s="17"/>
    </row>
    <row r="651">
      <c r="N651" s="17"/>
    </row>
    <row r="652">
      <c r="N652" s="17"/>
    </row>
    <row r="653">
      <c r="N653" s="17"/>
    </row>
    <row r="654">
      <c r="N654" s="17"/>
    </row>
    <row r="655">
      <c r="N655" s="17"/>
    </row>
    <row r="656">
      <c r="N656" s="17"/>
    </row>
    <row r="657">
      <c r="N657" s="17"/>
    </row>
    <row r="658">
      <c r="N658" s="17"/>
    </row>
    <row r="659">
      <c r="N659" s="17"/>
    </row>
    <row r="660">
      <c r="N660" s="17"/>
    </row>
    <row r="661">
      <c r="N661" s="17"/>
    </row>
    <row r="662">
      <c r="N662" s="17"/>
    </row>
    <row r="663">
      <c r="N663" s="17"/>
    </row>
    <row r="664">
      <c r="N664" s="17"/>
    </row>
    <row r="665">
      <c r="N665" s="17"/>
    </row>
    <row r="666">
      <c r="N666" s="17"/>
    </row>
    <row r="667">
      <c r="N667" s="17"/>
    </row>
    <row r="668">
      <c r="N668" s="17"/>
    </row>
    <row r="669">
      <c r="N669" s="17"/>
    </row>
    <row r="670">
      <c r="N670" s="17"/>
    </row>
    <row r="671">
      <c r="N671" s="17"/>
    </row>
    <row r="672">
      <c r="N672" s="17"/>
    </row>
    <row r="673">
      <c r="N673" s="17"/>
    </row>
    <row r="674">
      <c r="N674" s="17"/>
    </row>
    <row r="675">
      <c r="N675" s="17"/>
    </row>
    <row r="676">
      <c r="N676" s="17"/>
    </row>
    <row r="677">
      <c r="N677" s="17"/>
    </row>
    <row r="678">
      <c r="N678" s="17"/>
    </row>
    <row r="679">
      <c r="N679" s="17"/>
    </row>
    <row r="680">
      <c r="N680" s="17"/>
    </row>
    <row r="681">
      <c r="N681" s="17"/>
    </row>
    <row r="682">
      <c r="N682" s="17"/>
    </row>
    <row r="683">
      <c r="N683" s="17"/>
    </row>
    <row r="684">
      <c r="N684" s="17"/>
    </row>
    <row r="685">
      <c r="N685" s="17"/>
    </row>
    <row r="686">
      <c r="N686" s="17"/>
    </row>
    <row r="687">
      <c r="N687" s="17"/>
    </row>
    <row r="688">
      <c r="N688" s="17"/>
    </row>
    <row r="689">
      <c r="N689" s="17"/>
    </row>
    <row r="690">
      <c r="N690" s="17"/>
    </row>
    <row r="691">
      <c r="N691" s="17"/>
    </row>
    <row r="692">
      <c r="N692" s="17"/>
    </row>
    <row r="693">
      <c r="N693" s="17"/>
    </row>
    <row r="694">
      <c r="N694" s="17"/>
    </row>
    <row r="695">
      <c r="N695" s="17"/>
    </row>
    <row r="696">
      <c r="N696" s="17"/>
    </row>
    <row r="697">
      <c r="N697" s="17"/>
    </row>
    <row r="698">
      <c r="N698" s="17"/>
    </row>
    <row r="699">
      <c r="N699" s="17"/>
    </row>
    <row r="700">
      <c r="N700" s="17"/>
    </row>
    <row r="701">
      <c r="N701" s="17"/>
    </row>
    <row r="702">
      <c r="N702" s="17"/>
    </row>
    <row r="703">
      <c r="N703" s="17"/>
    </row>
    <row r="704">
      <c r="N704" s="17"/>
    </row>
    <row r="705">
      <c r="N705" s="17"/>
    </row>
    <row r="706">
      <c r="N706" s="17"/>
    </row>
    <row r="707">
      <c r="N707" s="17"/>
    </row>
    <row r="708">
      <c r="N708" s="17"/>
    </row>
    <row r="709">
      <c r="N709" s="17"/>
    </row>
    <row r="710">
      <c r="N710" s="17"/>
    </row>
    <row r="711">
      <c r="N711" s="17"/>
    </row>
    <row r="712">
      <c r="N712" s="17"/>
    </row>
    <row r="713">
      <c r="N713" s="17"/>
    </row>
    <row r="714">
      <c r="N714" s="17"/>
    </row>
    <row r="715">
      <c r="N715" s="17"/>
    </row>
    <row r="716">
      <c r="N716" s="17"/>
    </row>
    <row r="717">
      <c r="N717" s="17"/>
    </row>
    <row r="718">
      <c r="N718" s="17"/>
    </row>
    <row r="719">
      <c r="N719" s="17"/>
    </row>
    <row r="720">
      <c r="N720" s="17"/>
    </row>
    <row r="721">
      <c r="N721" s="17"/>
    </row>
    <row r="722">
      <c r="N722" s="17"/>
    </row>
    <row r="723">
      <c r="N723" s="17"/>
    </row>
    <row r="724">
      <c r="N724" s="17"/>
    </row>
    <row r="725">
      <c r="N725" s="17"/>
    </row>
    <row r="726">
      <c r="N726" s="17"/>
    </row>
    <row r="727">
      <c r="N727" s="17"/>
    </row>
    <row r="728">
      <c r="N728" s="17"/>
    </row>
    <row r="729">
      <c r="N729" s="17"/>
    </row>
    <row r="730">
      <c r="N730" s="17"/>
    </row>
    <row r="731">
      <c r="N731" s="17"/>
    </row>
    <row r="732">
      <c r="N732" s="17"/>
    </row>
    <row r="733">
      <c r="N733" s="17"/>
    </row>
    <row r="734">
      <c r="N734" s="17"/>
    </row>
    <row r="735">
      <c r="N735" s="17"/>
    </row>
    <row r="736">
      <c r="N736" s="17"/>
    </row>
    <row r="737">
      <c r="N737" s="17"/>
    </row>
    <row r="738">
      <c r="N738" s="17"/>
    </row>
    <row r="739">
      <c r="N739" s="17"/>
    </row>
    <row r="740">
      <c r="N740" s="17"/>
    </row>
    <row r="741">
      <c r="N741" s="17"/>
    </row>
    <row r="742">
      <c r="N742" s="17"/>
    </row>
    <row r="743">
      <c r="N743" s="17"/>
    </row>
    <row r="744">
      <c r="N744" s="17"/>
    </row>
    <row r="745">
      <c r="N745" s="17"/>
    </row>
    <row r="746">
      <c r="N746" s="17"/>
    </row>
    <row r="747">
      <c r="N747" s="17"/>
    </row>
    <row r="748">
      <c r="N748" s="17"/>
    </row>
    <row r="749">
      <c r="N749" s="17"/>
    </row>
    <row r="750">
      <c r="N750" s="17"/>
    </row>
    <row r="751">
      <c r="N751" s="17"/>
    </row>
    <row r="752">
      <c r="N752" s="17"/>
    </row>
    <row r="753">
      <c r="N753" s="17"/>
    </row>
    <row r="754">
      <c r="N754" s="17"/>
    </row>
    <row r="755">
      <c r="N755" s="17"/>
    </row>
    <row r="756">
      <c r="N756" s="17"/>
    </row>
    <row r="757">
      <c r="N757" s="17"/>
    </row>
    <row r="758">
      <c r="N758" s="17"/>
    </row>
    <row r="759">
      <c r="N759" s="17"/>
    </row>
    <row r="760">
      <c r="N760" s="17"/>
    </row>
    <row r="761">
      <c r="N761" s="17"/>
    </row>
    <row r="762">
      <c r="N762" s="17"/>
    </row>
    <row r="763">
      <c r="N763" s="17"/>
    </row>
    <row r="764">
      <c r="N764" s="17"/>
    </row>
    <row r="765">
      <c r="N765" s="17"/>
    </row>
    <row r="766">
      <c r="N766" s="17"/>
    </row>
    <row r="767">
      <c r="N767" s="17"/>
    </row>
    <row r="768">
      <c r="N768" s="17"/>
    </row>
    <row r="769">
      <c r="N769" s="17"/>
    </row>
    <row r="770">
      <c r="N770" s="17"/>
    </row>
    <row r="771">
      <c r="N771" s="17"/>
    </row>
    <row r="772">
      <c r="N772" s="17"/>
    </row>
    <row r="773">
      <c r="N773" s="17"/>
    </row>
    <row r="774">
      <c r="N774" s="17"/>
    </row>
    <row r="775">
      <c r="N775" s="17"/>
    </row>
    <row r="776">
      <c r="N776" s="17"/>
    </row>
    <row r="777">
      <c r="N777" s="17"/>
    </row>
    <row r="778">
      <c r="N778" s="17"/>
    </row>
    <row r="779">
      <c r="N779" s="17"/>
    </row>
    <row r="780">
      <c r="N780" s="17"/>
    </row>
    <row r="781">
      <c r="N781" s="17"/>
    </row>
    <row r="782">
      <c r="N782" s="17"/>
    </row>
    <row r="783">
      <c r="N783" s="17"/>
    </row>
    <row r="784">
      <c r="N784" s="17"/>
    </row>
    <row r="785">
      <c r="N785" s="17"/>
    </row>
    <row r="786">
      <c r="N786" s="17"/>
    </row>
    <row r="787">
      <c r="N787" s="17"/>
    </row>
    <row r="788">
      <c r="N788" s="17"/>
    </row>
    <row r="789">
      <c r="N789" s="17"/>
    </row>
    <row r="790">
      <c r="N790" s="17"/>
    </row>
    <row r="791">
      <c r="N791" s="17"/>
    </row>
    <row r="792">
      <c r="N792" s="17"/>
    </row>
    <row r="793">
      <c r="N793" s="17"/>
    </row>
    <row r="794">
      <c r="N794" s="17"/>
    </row>
    <row r="795">
      <c r="N795" s="17"/>
    </row>
    <row r="796">
      <c r="N796" s="17"/>
    </row>
    <row r="797">
      <c r="N797" s="17"/>
    </row>
    <row r="798">
      <c r="N798" s="17"/>
    </row>
    <row r="799">
      <c r="N799" s="17"/>
    </row>
    <row r="800">
      <c r="N800" s="17"/>
    </row>
    <row r="801">
      <c r="N801" s="17"/>
    </row>
    <row r="802">
      <c r="N802" s="17"/>
    </row>
    <row r="803">
      <c r="N803" s="17"/>
    </row>
    <row r="804">
      <c r="N804" s="17"/>
    </row>
    <row r="805">
      <c r="N805" s="17"/>
    </row>
    <row r="806">
      <c r="N806" s="17"/>
    </row>
    <row r="807">
      <c r="N807" s="17"/>
    </row>
    <row r="808">
      <c r="N808" s="17"/>
    </row>
    <row r="809">
      <c r="N809" s="17"/>
    </row>
    <row r="810">
      <c r="N810" s="17"/>
    </row>
    <row r="811">
      <c r="N811" s="17"/>
    </row>
    <row r="812">
      <c r="N812" s="17"/>
    </row>
    <row r="813">
      <c r="N813" s="17"/>
    </row>
    <row r="814">
      <c r="N814" s="17"/>
    </row>
    <row r="815">
      <c r="N815" s="17"/>
    </row>
    <row r="816">
      <c r="N816" s="17"/>
    </row>
    <row r="817">
      <c r="N817" s="17"/>
    </row>
    <row r="818">
      <c r="N818" s="17"/>
    </row>
    <row r="819">
      <c r="N819" s="17"/>
    </row>
    <row r="820">
      <c r="N820" s="17"/>
    </row>
    <row r="821">
      <c r="N821" s="17"/>
    </row>
    <row r="822">
      <c r="N822" s="17"/>
    </row>
    <row r="823">
      <c r="N823" s="17"/>
    </row>
    <row r="824">
      <c r="N824" s="17"/>
    </row>
    <row r="825">
      <c r="N825" s="17"/>
    </row>
    <row r="826">
      <c r="N826" s="17"/>
    </row>
    <row r="827">
      <c r="N827" s="17"/>
    </row>
    <row r="828">
      <c r="N828" s="17"/>
    </row>
    <row r="829">
      <c r="N829" s="17"/>
    </row>
    <row r="830">
      <c r="N830" s="17"/>
    </row>
    <row r="831">
      <c r="N831" s="17"/>
    </row>
    <row r="832">
      <c r="N832" s="17"/>
    </row>
    <row r="833">
      <c r="N833" s="17"/>
    </row>
    <row r="834">
      <c r="N834" s="17"/>
    </row>
    <row r="835">
      <c r="N835" s="17"/>
    </row>
    <row r="836">
      <c r="N836" s="17"/>
    </row>
    <row r="837">
      <c r="N837" s="17"/>
    </row>
    <row r="838">
      <c r="N838" s="17"/>
    </row>
    <row r="839">
      <c r="N839" s="17"/>
    </row>
    <row r="840">
      <c r="N840" s="17"/>
    </row>
    <row r="841">
      <c r="N841" s="17"/>
    </row>
    <row r="842">
      <c r="N842" s="17"/>
    </row>
    <row r="843">
      <c r="N843" s="17"/>
    </row>
    <row r="844">
      <c r="N844" s="17"/>
    </row>
    <row r="845">
      <c r="N845" s="17"/>
    </row>
    <row r="846">
      <c r="N846" s="17"/>
    </row>
    <row r="847">
      <c r="N847" s="17"/>
    </row>
    <row r="848">
      <c r="N848" s="17"/>
    </row>
    <row r="849">
      <c r="N849" s="17"/>
    </row>
    <row r="850">
      <c r="N850" s="17"/>
    </row>
    <row r="851">
      <c r="N851" s="17"/>
    </row>
    <row r="852">
      <c r="N852" s="17"/>
    </row>
    <row r="853">
      <c r="N853" s="17"/>
    </row>
    <row r="854">
      <c r="N854" s="17"/>
    </row>
    <row r="855">
      <c r="N855" s="17"/>
    </row>
    <row r="856">
      <c r="N856" s="17"/>
    </row>
    <row r="857">
      <c r="N857" s="17"/>
    </row>
    <row r="858">
      <c r="N858" s="17"/>
    </row>
    <row r="859">
      <c r="N859" s="17"/>
    </row>
    <row r="860">
      <c r="N860" s="17"/>
    </row>
    <row r="861">
      <c r="N861" s="17"/>
    </row>
    <row r="862">
      <c r="N862" s="17"/>
    </row>
    <row r="863">
      <c r="N863" s="17"/>
    </row>
    <row r="864">
      <c r="N864" s="17"/>
    </row>
    <row r="865">
      <c r="N865" s="17"/>
    </row>
    <row r="866">
      <c r="N866" s="17"/>
    </row>
    <row r="867">
      <c r="N867" s="17"/>
    </row>
    <row r="868">
      <c r="N868" s="17"/>
    </row>
    <row r="869">
      <c r="N869" s="17"/>
    </row>
    <row r="870">
      <c r="N870" s="17"/>
    </row>
    <row r="871">
      <c r="N871" s="17"/>
    </row>
    <row r="872">
      <c r="N872" s="17"/>
    </row>
    <row r="873">
      <c r="N873" s="17"/>
    </row>
    <row r="874">
      <c r="N874" s="17"/>
    </row>
    <row r="875">
      <c r="N875" s="17"/>
    </row>
    <row r="876">
      <c r="N876" s="17"/>
    </row>
    <row r="877">
      <c r="N877" s="17"/>
    </row>
    <row r="878">
      <c r="N878" s="17"/>
    </row>
    <row r="879">
      <c r="N879" s="17"/>
    </row>
    <row r="880">
      <c r="N880" s="17"/>
    </row>
    <row r="881">
      <c r="N881" s="17"/>
    </row>
    <row r="882">
      <c r="N882" s="17"/>
    </row>
    <row r="883">
      <c r="N883" s="17"/>
    </row>
    <row r="884">
      <c r="N884" s="17"/>
    </row>
    <row r="885">
      <c r="N885" s="17"/>
    </row>
    <row r="886">
      <c r="N886" s="17"/>
    </row>
    <row r="887">
      <c r="N887" s="17"/>
    </row>
    <row r="888">
      <c r="N888" s="17"/>
    </row>
    <row r="889">
      <c r="N889" s="17"/>
    </row>
    <row r="890">
      <c r="N890" s="17"/>
    </row>
    <row r="891">
      <c r="N891" s="17"/>
    </row>
    <row r="892">
      <c r="N892" s="17"/>
    </row>
    <row r="893">
      <c r="N893" s="17"/>
    </row>
    <row r="894">
      <c r="N894" s="17"/>
    </row>
    <row r="895">
      <c r="N895" s="17"/>
    </row>
    <row r="896">
      <c r="N896" s="17"/>
    </row>
    <row r="897">
      <c r="N897" s="17"/>
    </row>
    <row r="898">
      <c r="N898" s="17"/>
    </row>
    <row r="899">
      <c r="N899" s="17"/>
    </row>
    <row r="900">
      <c r="N900" s="17"/>
    </row>
    <row r="901">
      <c r="N901" s="17"/>
    </row>
    <row r="902">
      <c r="N902" s="17"/>
    </row>
    <row r="903">
      <c r="N903" s="17"/>
    </row>
    <row r="904">
      <c r="N904" s="17"/>
    </row>
    <row r="905">
      <c r="N905" s="17"/>
    </row>
    <row r="906">
      <c r="N906" s="17"/>
    </row>
    <row r="907">
      <c r="N907" s="17"/>
    </row>
    <row r="908">
      <c r="N908" s="17"/>
    </row>
    <row r="909">
      <c r="N909" s="17"/>
    </row>
    <row r="910">
      <c r="N910" s="17"/>
    </row>
    <row r="911">
      <c r="N911" s="17"/>
    </row>
    <row r="912">
      <c r="N912" s="17"/>
    </row>
    <row r="913">
      <c r="N913" s="17"/>
    </row>
    <row r="914">
      <c r="N914" s="17"/>
    </row>
    <row r="915">
      <c r="N915" s="17"/>
    </row>
    <row r="916">
      <c r="N916" s="17"/>
    </row>
    <row r="917">
      <c r="N917" s="17"/>
    </row>
    <row r="918">
      <c r="N918" s="17"/>
    </row>
    <row r="919">
      <c r="N919" s="17"/>
    </row>
    <row r="920">
      <c r="N920" s="17"/>
    </row>
    <row r="921">
      <c r="N921" s="17"/>
    </row>
    <row r="922">
      <c r="N922" s="17"/>
    </row>
    <row r="923">
      <c r="N923" s="17"/>
    </row>
    <row r="924">
      <c r="N924" s="17"/>
    </row>
    <row r="925">
      <c r="N925" s="17"/>
    </row>
    <row r="926">
      <c r="N926" s="17"/>
    </row>
    <row r="927">
      <c r="N927" s="17"/>
    </row>
    <row r="928">
      <c r="N928" s="17"/>
    </row>
    <row r="929">
      <c r="N929" s="17"/>
    </row>
    <row r="930">
      <c r="N930" s="17"/>
    </row>
    <row r="931">
      <c r="N931" s="17"/>
    </row>
    <row r="932">
      <c r="N932" s="17"/>
    </row>
    <row r="933">
      <c r="N933" s="17"/>
    </row>
    <row r="934">
      <c r="N934" s="17"/>
    </row>
    <row r="935">
      <c r="N935" s="17"/>
    </row>
    <row r="936">
      <c r="N936" s="17"/>
    </row>
    <row r="937">
      <c r="N937" s="17"/>
    </row>
    <row r="938">
      <c r="N938" s="17"/>
    </row>
    <row r="939">
      <c r="N939" s="17"/>
    </row>
    <row r="940">
      <c r="N940" s="17"/>
    </row>
    <row r="941">
      <c r="N941" s="17"/>
    </row>
    <row r="942">
      <c r="N942" s="17"/>
    </row>
    <row r="943">
      <c r="N943" s="17"/>
    </row>
    <row r="944">
      <c r="N944" s="17"/>
    </row>
    <row r="945">
      <c r="N945" s="17"/>
    </row>
    <row r="946">
      <c r="N946" s="17"/>
    </row>
    <row r="947">
      <c r="N947" s="17"/>
    </row>
    <row r="948">
      <c r="N948" s="17"/>
    </row>
    <row r="949">
      <c r="N949" s="17"/>
    </row>
    <row r="950">
      <c r="N950" s="17"/>
    </row>
    <row r="951">
      <c r="N951" s="17"/>
    </row>
    <row r="952">
      <c r="N952" s="17"/>
    </row>
    <row r="953">
      <c r="N953" s="17"/>
    </row>
    <row r="954">
      <c r="N954" s="17"/>
    </row>
    <row r="955">
      <c r="N955" s="17"/>
    </row>
    <row r="956">
      <c r="N956" s="17"/>
    </row>
    <row r="957">
      <c r="N957" s="17"/>
    </row>
    <row r="958">
      <c r="N958" s="17"/>
    </row>
    <row r="959">
      <c r="N959" s="17"/>
    </row>
    <row r="960">
      <c r="N960" s="17"/>
    </row>
    <row r="961">
      <c r="N961" s="17"/>
    </row>
    <row r="962">
      <c r="N962" s="17"/>
    </row>
    <row r="963">
      <c r="N963" s="17"/>
    </row>
    <row r="964">
      <c r="N964" s="17"/>
    </row>
    <row r="965">
      <c r="N965" s="17"/>
    </row>
    <row r="966">
      <c r="N966" s="17"/>
    </row>
    <row r="967">
      <c r="N967" s="17"/>
    </row>
    <row r="968">
      <c r="N968" s="17"/>
    </row>
    <row r="969">
      <c r="N969" s="17"/>
    </row>
    <row r="970">
      <c r="N970" s="17"/>
    </row>
    <row r="971">
      <c r="N971" s="17"/>
    </row>
    <row r="972">
      <c r="N972" s="17"/>
    </row>
    <row r="973">
      <c r="N973" s="17"/>
    </row>
    <row r="974">
      <c r="N974" s="17"/>
    </row>
    <row r="975">
      <c r="N975" s="17"/>
    </row>
    <row r="976">
      <c r="N976" s="17"/>
    </row>
    <row r="977">
      <c r="N977" s="17"/>
    </row>
    <row r="978">
      <c r="N978" s="17"/>
    </row>
    <row r="979">
      <c r="N979" s="17"/>
    </row>
    <row r="980">
      <c r="N980" s="17"/>
    </row>
    <row r="981">
      <c r="N981" s="17"/>
    </row>
    <row r="982">
      <c r="N982" s="17"/>
    </row>
    <row r="983">
      <c r="N983" s="17"/>
    </row>
    <row r="984">
      <c r="N984" s="17"/>
    </row>
    <row r="985">
      <c r="N985" s="17"/>
    </row>
    <row r="986">
      <c r="N986" s="17"/>
    </row>
    <row r="987">
      <c r="N987" s="17"/>
    </row>
    <row r="988">
      <c r="N988" s="17"/>
    </row>
    <row r="989">
      <c r="N989" s="17"/>
    </row>
    <row r="990">
      <c r="N990" s="17"/>
    </row>
    <row r="991">
      <c r="N991" s="17"/>
    </row>
    <row r="992">
      <c r="N992" s="17"/>
    </row>
    <row r="993">
      <c r="N993" s="17"/>
    </row>
    <row r="994">
      <c r="N994" s="17"/>
    </row>
    <row r="995">
      <c r="N995" s="17"/>
    </row>
    <row r="996">
      <c r="N996" s="17"/>
    </row>
  </sheetData>
  <autoFilter ref="$A$1:$Z$996"/>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s>
  <sheetData>
    <row r="1">
      <c r="A1" s="29" t="s">
        <v>447</v>
      </c>
      <c r="B1" s="29" t="s">
        <v>448</v>
      </c>
      <c r="C1" s="29" t="s">
        <v>449</v>
      </c>
      <c r="D1" s="5"/>
      <c r="E1" s="5"/>
      <c r="F1" s="5"/>
      <c r="G1" s="5"/>
      <c r="H1" s="5"/>
      <c r="I1" s="5"/>
      <c r="J1" s="5"/>
      <c r="K1" s="5"/>
      <c r="L1" s="5"/>
      <c r="M1" s="5"/>
      <c r="N1" s="5"/>
      <c r="O1" s="5"/>
      <c r="P1" s="5"/>
      <c r="Q1" s="5"/>
      <c r="R1" s="5"/>
      <c r="S1" s="5"/>
      <c r="T1" s="5"/>
      <c r="U1" s="5"/>
      <c r="V1" s="5"/>
      <c r="W1" s="5"/>
      <c r="X1" s="5"/>
      <c r="Y1" s="5"/>
      <c r="Z1" s="5"/>
    </row>
    <row r="2">
      <c r="A2" s="30" t="s">
        <v>34</v>
      </c>
      <c r="B2" s="31">
        <f>COUNTIF(Technical_Evaluations!B2:B696,A2)</f>
        <v>35</v>
      </c>
      <c r="C2" s="30" t="s">
        <v>451</v>
      </c>
    </row>
    <row r="3">
      <c r="A3" s="30" t="s">
        <v>127</v>
      </c>
      <c r="B3" s="31">
        <f>COUNTIF(Technical_Evaluations!B2:B697,A3)</f>
        <v>7</v>
      </c>
      <c r="C3" s="30" t="s">
        <v>451</v>
      </c>
    </row>
    <row r="4">
      <c r="A4" s="30" t="s">
        <v>147</v>
      </c>
      <c r="B4" s="31">
        <f>COUNTIF(Technical_Evaluations!B2:B698,A4)</f>
        <v>11</v>
      </c>
      <c r="C4" s="30" t="s">
        <v>451</v>
      </c>
    </row>
    <row r="5">
      <c r="A5" s="30" t="s">
        <v>193</v>
      </c>
      <c r="B5" s="31">
        <f>COUNTIF(Technical_Evaluations!B2:B699,A5)</f>
        <v>27</v>
      </c>
      <c r="C5" s="30" t="s">
        <v>451</v>
      </c>
    </row>
    <row r="6">
      <c r="A6" s="30" t="s">
        <v>58</v>
      </c>
      <c r="B6" s="31">
        <f>COUNTIF(SoftSkills_Evaluations!B2:B603,A6)</f>
        <v>7</v>
      </c>
      <c r="C6" s="30" t="s">
        <v>452</v>
      </c>
    </row>
    <row r="7">
      <c r="A7" s="30" t="s">
        <v>95</v>
      </c>
      <c r="B7" s="31">
        <f>COUNTIF(SoftSkills_Evaluations!B2:B640,A7)</f>
        <v>22</v>
      </c>
      <c r="C7" s="30" t="s">
        <v>452</v>
      </c>
    </row>
    <row r="8">
      <c r="A8" s="30" t="s">
        <v>69</v>
      </c>
      <c r="B8" s="31">
        <f>COUNTIF(SoftSkills_Evaluations!B2:B605,A8)</f>
        <v>31</v>
      </c>
      <c r="C8" s="30" t="s">
        <v>452</v>
      </c>
    </row>
    <row r="9">
      <c r="A9" s="30" t="s">
        <v>44</v>
      </c>
      <c r="B9" s="31">
        <f>COUNTIF(SoftSkills_Evaluations!B2:B606,A9)</f>
        <v>15</v>
      </c>
      <c r="C9" s="30" t="s">
        <v>452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s>
  <sheetData>
    <row r="1">
      <c r="A1" s="1" t="s">
        <v>5</v>
      </c>
      <c r="B1" s="1" t="s">
        <v>456</v>
      </c>
      <c r="C1" s="5"/>
      <c r="D1" s="5"/>
      <c r="E1" s="5"/>
      <c r="F1" s="5"/>
      <c r="G1" s="5"/>
      <c r="H1" s="5"/>
      <c r="I1" s="5"/>
      <c r="J1" s="5"/>
      <c r="K1" s="5"/>
      <c r="L1" s="5"/>
      <c r="M1" s="5"/>
      <c r="N1" s="5"/>
      <c r="O1" s="5"/>
      <c r="P1" s="5"/>
      <c r="Q1" s="5"/>
      <c r="R1" s="5"/>
      <c r="S1" s="5"/>
      <c r="T1" s="5"/>
      <c r="U1" s="5"/>
      <c r="V1" s="5"/>
      <c r="W1" s="5"/>
      <c r="X1" s="5"/>
      <c r="Y1" s="5"/>
      <c r="Z1" s="5"/>
    </row>
    <row r="2">
      <c r="A2" s="11" t="s">
        <v>457</v>
      </c>
    </row>
    <row r="3">
      <c r="A3" s="32" t="s">
        <v>458</v>
      </c>
    </row>
    <row r="4">
      <c r="A4" s="32" t="s">
        <v>460</v>
      </c>
    </row>
    <row r="5">
      <c r="A5" s="32" t="s">
        <v>461</v>
      </c>
    </row>
    <row r="6">
      <c r="A6" s="32" t="s">
        <v>462</v>
      </c>
    </row>
    <row r="7">
      <c r="A7" s="32" t="s">
        <v>463</v>
      </c>
    </row>
    <row r="8">
      <c r="A8" s="32" t="s">
        <v>466</v>
      </c>
    </row>
    <row r="9">
      <c r="A9" s="32" t="s">
        <v>467</v>
      </c>
    </row>
    <row r="10">
      <c r="A10" s="32" t="s">
        <v>468</v>
      </c>
    </row>
    <row r="11">
      <c r="A11" s="11" t="s">
        <v>469</v>
      </c>
    </row>
  </sheetData>
  <hyperlinks>
    <hyperlink r:id="rId1" ref="A3"/>
    <hyperlink r:id="rId2" ref="A4"/>
    <hyperlink r:id="rId3" ref="A5"/>
    <hyperlink r:id="rId4" ref="A6"/>
    <hyperlink r:id="rId5" ref="A7"/>
    <hyperlink r:id="rId6" ref="A8"/>
    <hyperlink r:id="rId7" ref="A9"/>
    <hyperlink r:id="rId8" ref="A10"/>
  </hyperlinks>
  <drawing r:id="rId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3.88"/>
    <col customWidth="1" min="3" max="3" width="28.63"/>
    <col customWidth="1" min="4" max="4" width="14.63"/>
    <col customWidth="1" min="6" max="6" width="21.25"/>
    <col customWidth="1" min="7" max="7" width="21.38"/>
    <col customWidth="1" min="8" max="8" width="31.38"/>
    <col customWidth="1" min="9" max="9" width="26.13"/>
  </cols>
  <sheetData>
    <row r="1">
      <c r="C1" s="33" t="s">
        <v>7</v>
      </c>
      <c r="D1" s="33" t="s">
        <v>13</v>
      </c>
    </row>
    <row r="2">
      <c r="C2" s="34" t="s">
        <v>62</v>
      </c>
      <c r="D2" s="33">
        <v>63.0</v>
      </c>
    </row>
    <row r="3">
      <c r="C3" s="34" t="s">
        <v>59</v>
      </c>
      <c r="D3" s="33">
        <v>8.0</v>
      </c>
    </row>
    <row r="4">
      <c r="C4" s="34" t="s">
        <v>203</v>
      </c>
      <c r="D4" s="33">
        <v>58.0</v>
      </c>
    </row>
    <row r="5">
      <c r="D5" s="35">
        <f>SUM(D2:D4)</f>
        <v>129</v>
      </c>
    </row>
    <row r="7">
      <c r="A7" s="36" t="s">
        <v>478</v>
      </c>
      <c r="B7" s="37" t="s">
        <v>1</v>
      </c>
      <c r="C7" s="37" t="s">
        <v>5</v>
      </c>
      <c r="D7" s="37" t="s">
        <v>8</v>
      </c>
      <c r="E7" s="37" t="s">
        <v>12</v>
      </c>
      <c r="F7" s="38" t="s">
        <v>27</v>
      </c>
      <c r="G7" s="38" t="s">
        <v>31</v>
      </c>
      <c r="H7" s="38" t="s">
        <v>32</v>
      </c>
      <c r="I7" s="37" t="s">
        <v>25</v>
      </c>
      <c r="J7" s="5"/>
      <c r="K7" s="5"/>
      <c r="L7" s="5"/>
      <c r="M7" s="5"/>
      <c r="N7" s="5"/>
      <c r="O7" s="5"/>
      <c r="P7" s="5"/>
      <c r="Q7" s="5"/>
      <c r="R7" s="5"/>
      <c r="S7" s="5"/>
    </row>
    <row r="8">
      <c r="A8" s="39">
        <v>1.0</v>
      </c>
      <c r="B8" s="40" t="s">
        <v>124</v>
      </c>
      <c r="C8" s="40" t="s">
        <v>480</v>
      </c>
      <c r="D8" s="40" t="s">
        <v>53</v>
      </c>
      <c r="E8" s="40" t="s">
        <v>39</v>
      </c>
      <c r="F8" s="41">
        <v>93.6</v>
      </c>
      <c r="G8" s="41">
        <v>95.4</v>
      </c>
      <c r="H8" s="42"/>
      <c r="I8" s="41">
        <v>94.5</v>
      </c>
    </row>
    <row r="9">
      <c r="A9" s="39">
        <v>2.0</v>
      </c>
      <c r="B9" s="43" t="s">
        <v>308</v>
      </c>
      <c r="C9" s="40" t="s">
        <v>481</v>
      </c>
      <c r="D9" s="40" t="s">
        <v>53</v>
      </c>
      <c r="E9" s="40" t="s">
        <v>39</v>
      </c>
      <c r="F9" s="41">
        <v>81.8</v>
      </c>
      <c r="G9" s="41">
        <v>93.8</v>
      </c>
      <c r="H9" s="42"/>
      <c r="I9" s="41">
        <v>87.8</v>
      </c>
    </row>
    <row r="10">
      <c r="A10" s="39">
        <v>3.0</v>
      </c>
      <c r="B10" s="43" t="s">
        <v>213</v>
      </c>
      <c r="C10" s="40" t="s">
        <v>453</v>
      </c>
      <c r="D10" s="40" t="s">
        <v>53</v>
      </c>
      <c r="E10" s="40" t="s">
        <v>59</v>
      </c>
      <c r="F10" s="41">
        <v>71.6</v>
      </c>
      <c r="G10" s="41">
        <v>43.0</v>
      </c>
      <c r="H10" s="41">
        <v>59.0</v>
      </c>
      <c r="I10" s="41">
        <v>86.8</v>
      </c>
    </row>
    <row r="11">
      <c r="A11" s="39">
        <v>4.0</v>
      </c>
      <c r="B11" s="43" t="s">
        <v>136</v>
      </c>
      <c r="C11" s="40" t="s">
        <v>482</v>
      </c>
      <c r="D11" s="40" t="s">
        <v>38</v>
      </c>
      <c r="E11" s="40" t="s">
        <v>59</v>
      </c>
      <c r="F11" s="41">
        <v>95.0</v>
      </c>
      <c r="G11" s="41">
        <v>83.8</v>
      </c>
      <c r="H11" s="41">
        <v>67.0</v>
      </c>
      <c r="I11" s="41">
        <v>81.93333</v>
      </c>
    </row>
    <row r="12">
      <c r="A12" s="39">
        <v>5.0</v>
      </c>
      <c r="B12" s="43" t="s">
        <v>45</v>
      </c>
      <c r="C12" s="40" t="s">
        <v>296</v>
      </c>
      <c r="D12" s="40" t="s">
        <v>38</v>
      </c>
      <c r="E12" s="40" t="s">
        <v>52</v>
      </c>
      <c r="F12" s="41">
        <v>80.0</v>
      </c>
      <c r="G12" s="42"/>
      <c r="H12" s="41">
        <v>82.0</v>
      </c>
      <c r="I12" s="41">
        <v>81.0</v>
      </c>
    </row>
    <row r="13">
      <c r="A13" s="39">
        <v>6.0</v>
      </c>
      <c r="B13" s="43" t="s">
        <v>85</v>
      </c>
      <c r="C13" s="40" t="s">
        <v>483</v>
      </c>
      <c r="D13" s="40" t="s">
        <v>38</v>
      </c>
      <c r="E13" s="40" t="s">
        <v>39</v>
      </c>
      <c r="F13" s="41">
        <v>90.0</v>
      </c>
      <c r="G13" s="41">
        <v>95.0</v>
      </c>
      <c r="H13" s="41">
        <v>58.0</v>
      </c>
      <c r="I13" s="41">
        <v>81.0</v>
      </c>
    </row>
    <row r="14">
      <c r="A14" s="39">
        <v>7.0</v>
      </c>
      <c r="B14" s="43" t="s">
        <v>47</v>
      </c>
      <c r="C14" s="40" t="s">
        <v>492</v>
      </c>
      <c r="D14" s="40" t="s">
        <v>51</v>
      </c>
      <c r="E14" s="40" t="s">
        <v>52</v>
      </c>
      <c r="F14" s="42"/>
      <c r="G14" s="41">
        <v>67.0</v>
      </c>
      <c r="H14" s="41">
        <v>94.0</v>
      </c>
      <c r="I14" s="41">
        <v>80.5</v>
      </c>
    </row>
    <row r="15">
      <c r="A15" s="39">
        <v>8.0</v>
      </c>
      <c r="B15" s="43" t="s">
        <v>81</v>
      </c>
      <c r="C15" s="40" t="s">
        <v>495</v>
      </c>
      <c r="D15" s="40" t="s">
        <v>38</v>
      </c>
      <c r="E15" s="40" t="s">
        <v>39</v>
      </c>
      <c r="F15" s="42"/>
      <c r="G15" s="41">
        <v>89.4</v>
      </c>
      <c r="H15" s="41">
        <v>71.0</v>
      </c>
      <c r="I15" s="41">
        <v>80.2</v>
      </c>
    </row>
    <row r="16">
      <c r="A16" s="39">
        <v>9.0</v>
      </c>
      <c r="B16" s="43" t="s">
        <v>245</v>
      </c>
      <c r="C16" s="40" t="s">
        <v>484</v>
      </c>
      <c r="D16" s="40" t="s">
        <v>88</v>
      </c>
      <c r="E16" s="40" t="s">
        <v>52</v>
      </c>
      <c r="F16" s="41">
        <v>74.4</v>
      </c>
      <c r="G16" s="41">
        <v>89.2</v>
      </c>
      <c r="H16" s="41">
        <v>76.0</v>
      </c>
      <c r="I16" s="41">
        <v>79.86667</v>
      </c>
    </row>
    <row r="17">
      <c r="A17" s="39">
        <v>10.0</v>
      </c>
      <c r="B17" s="43" t="s">
        <v>190</v>
      </c>
      <c r="C17" s="40" t="s">
        <v>486</v>
      </c>
      <c r="D17" s="40" t="s">
        <v>53</v>
      </c>
      <c r="E17" s="40" t="s">
        <v>52</v>
      </c>
      <c r="F17" s="41">
        <v>92.8</v>
      </c>
      <c r="G17" s="41">
        <v>79.8</v>
      </c>
      <c r="H17" s="41">
        <v>64.0</v>
      </c>
      <c r="I17" s="41">
        <v>78.86667</v>
      </c>
    </row>
    <row r="18">
      <c r="A18" s="39">
        <v>11.0</v>
      </c>
      <c r="B18" s="43" t="s">
        <v>133</v>
      </c>
      <c r="C18" s="40" t="s">
        <v>208</v>
      </c>
      <c r="D18" s="40" t="s">
        <v>38</v>
      </c>
      <c r="E18" s="40" t="s">
        <v>59</v>
      </c>
      <c r="F18" s="41">
        <v>96.0</v>
      </c>
      <c r="G18" s="41">
        <v>89.4</v>
      </c>
      <c r="H18" s="41">
        <v>51.0</v>
      </c>
      <c r="I18" s="41">
        <v>78.8</v>
      </c>
    </row>
    <row r="19">
      <c r="A19" s="39">
        <v>12.0</v>
      </c>
      <c r="B19" s="43" t="s">
        <v>126</v>
      </c>
      <c r="C19" s="40" t="s">
        <v>488</v>
      </c>
      <c r="D19" s="40" t="s">
        <v>38</v>
      </c>
      <c r="E19" s="40" t="s">
        <v>52</v>
      </c>
      <c r="F19" s="41">
        <v>77.6</v>
      </c>
      <c r="G19" s="41">
        <v>84.2</v>
      </c>
      <c r="H19" s="41">
        <v>73.0</v>
      </c>
      <c r="I19" s="41">
        <v>78.26667</v>
      </c>
    </row>
    <row r="20">
      <c r="A20" s="39">
        <v>13.0</v>
      </c>
      <c r="B20" s="43" t="s">
        <v>126</v>
      </c>
      <c r="C20" s="40" t="s">
        <v>488</v>
      </c>
      <c r="D20" s="40" t="s">
        <v>38</v>
      </c>
      <c r="E20" s="40" t="s">
        <v>52</v>
      </c>
      <c r="F20" s="41">
        <v>77.6</v>
      </c>
      <c r="G20" s="41">
        <v>84.2</v>
      </c>
      <c r="H20" s="41">
        <v>73.0</v>
      </c>
      <c r="I20" s="41">
        <v>78.26667</v>
      </c>
    </row>
    <row r="21">
      <c r="A21" s="39">
        <v>14.0</v>
      </c>
      <c r="B21" s="43" t="s">
        <v>169</v>
      </c>
      <c r="C21" s="47" t="s">
        <v>512</v>
      </c>
      <c r="D21" s="40" t="s">
        <v>38</v>
      </c>
      <c r="E21" s="40" t="s">
        <v>52</v>
      </c>
      <c r="F21" s="41">
        <v>62.6</v>
      </c>
      <c r="G21" s="41">
        <v>76.6</v>
      </c>
      <c r="H21" s="41">
        <v>93.0</v>
      </c>
      <c r="I21" s="41">
        <v>77.4</v>
      </c>
    </row>
    <row r="22">
      <c r="A22" s="39">
        <v>15.0</v>
      </c>
      <c r="B22" s="43" t="s">
        <v>201</v>
      </c>
      <c r="C22" s="40" t="s">
        <v>515</v>
      </c>
      <c r="D22" s="40" t="s">
        <v>38</v>
      </c>
      <c r="E22" s="40" t="s">
        <v>52</v>
      </c>
      <c r="F22" s="42"/>
      <c r="G22" s="41">
        <v>76.8</v>
      </c>
      <c r="H22" s="41">
        <v>77.0</v>
      </c>
      <c r="I22" s="41">
        <v>76.9</v>
      </c>
    </row>
    <row r="23">
      <c r="A23" s="39">
        <v>16.0</v>
      </c>
      <c r="B23" s="43" t="s">
        <v>246</v>
      </c>
      <c r="C23" s="40" t="s">
        <v>374</v>
      </c>
      <c r="D23" s="40" t="s">
        <v>53</v>
      </c>
      <c r="E23" s="40" t="s">
        <v>59</v>
      </c>
      <c r="F23" s="41">
        <v>77.0</v>
      </c>
      <c r="G23" s="42"/>
      <c r="H23" s="41">
        <v>76.0</v>
      </c>
      <c r="I23" s="41">
        <v>76.5</v>
      </c>
    </row>
    <row r="24">
      <c r="A24" s="39">
        <v>17.0</v>
      </c>
      <c r="B24" s="43" t="s">
        <v>92</v>
      </c>
      <c r="C24" s="40" t="s">
        <v>517</v>
      </c>
      <c r="D24" s="40" t="s">
        <v>53</v>
      </c>
      <c r="E24" s="40" t="s">
        <v>52</v>
      </c>
      <c r="F24" s="42"/>
      <c r="G24" s="41">
        <v>87.6</v>
      </c>
      <c r="H24" s="41">
        <v>64.0</v>
      </c>
      <c r="I24" s="41">
        <v>75.8</v>
      </c>
    </row>
    <row r="25">
      <c r="A25" s="39">
        <v>18.0</v>
      </c>
      <c r="B25" s="43" t="s">
        <v>75</v>
      </c>
      <c r="C25" s="40" t="s">
        <v>490</v>
      </c>
      <c r="D25" s="40" t="s">
        <v>51</v>
      </c>
      <c r="E25" s="40" t="s">
        <v>52</v>
      </c>
      <c r="F25" s="41">
        <v>64.8</v>
      </c>
      <c r="G25" s="41">
        <v>77.2</v>
      </c>
      <c r="H25" s="41">
        <v>85.0</v>
      </c>
      <c r="I25" s="41">
        <v>75.66667</v>
      </c>
    </row>
    <row r="26">
      <c r="A26" s="39">
        <v>19.0</v>
      </c>
      <c r="B26" s="43" t="s">
        <v>48</v>
      </c>
      <c r="C26" s="40" t="s">
        <v>491</v>
      </c>
      <c r="D26" s="40" t="s">
        <v>51</v>
      </c>
      <c r="E26" s="40" t="s">
        <v>39</v>
      </c>
      <c r="F26" s="41">
        <v>77.6</v>
      </c>
      <c r="G26" s="41">
        <v>97.0</v>
      </c>
      <c r="H26" s="41">
        <v>51.0</v>
      </c>
      <c r="I26" s="41">
        <v>75.2</v>
      </c>
    </row>
    <row r="27">
      <c r="A27" s="39">
        <v>20.0</v>
      </c>
      <c r="B27" s="43" t="s">
        <v>265</v>
      </c>
      <c r="C27" s="40" t="s">
        <v>521</v>
      </c>
      <c r="D27" s="40" t="s">
        <v>53</v>
      </c>
      <c r="E27" s="40" t="s">
        <v>39</v>
      </c>
      <c r="F27" s="42"/>
      <c r="G27" s="41">
        <v>65.8</v>
      </c>
      <c r="H27" s="41">
        <v>84.0</v>
      </c>
      <c r="I27" s="41">
        <v>74.9</v>
      </c>
    </row>
    <row r="28">
      <c r="A28" s="39">
        <v>21.0</v>
      </c>
      <c r="B28" s="43" t="s">
        <v>196</v>
      </c>
      <c r="C28" s="40" t="s">
        <v>446</v>
      </c>
      <c r="D28" s="40" t="s">
        <v>51</v>
      </c>
      <c r="E28" s="40" t="s">
        <v>52</v>
      </c>
      <c r="F28" s="41">
        <v>72.4</v>
      </c>
      <c r="G28" s="41">
        <v>84.8</v>
      </c>
      <c r="H28" s="41">
        <v>67.0</v>
      </c>
      <c r="I28" s="41">
        <v>74.73333</v>
      </c>
    </row>
    <row r="29">
      <c r="A29" s="39">
        <v>22.0</v>
      </c>
      <c r="B29" s="43" t="s">
        <v>122</v>
      </c>
      <c r="C29" s="40" t="s">
        <v>524</v>
      </c>
      <c r="D29" s="40" t="s">
        <v>53</v>
      </c>
      <c r="E29" s="40" t="s">
        <v>39</v>
      </c>
      <c r="F29" s="41">
        <v>66.4</v>
      </c>
      <c r="G29" s="41">
        <v>82.6</v>
      </c>
      <c r="H29" s="42"/>
      <c r="I29" s="41">
        <v>74.5</v>
      </c>
    </row>
    <row r="30">
      <c r="A30" s="39">
        <v>23.0</v>
      </c>
      <c r="B30" s="43" t="s">
        <v>96</v>
      </c>
      <c r="C30" s="40" t="s">
        <v>525</v>
      </c>
      <c r="D30" s="40" t="s">
        <v>38</v>
      </c>
      <c r="E30" s="40" t="s">
        <v>39</v>
      </c>
      <c r="F30" s="42"/>
      <c r="G30" s="41">
        <v>90.0</v>
      </c>
      <c r="H30" s="41">
        <v>59.0</v>
      </c>
      <c r="I30" s="41">
        <v>74.5</v>
      </c>
    </row>
    <row r="31">
      <c r="A31" s="39">
        <v>24.0</v>
      </c>
      <c r="B31" s="43" t="s">
        <v>254</v>
      </c>
      <c r="C31" s="40" t="s">
        <v>527</v>
      </c>
      <c r="D31" s="40" t="s">
        <v>53</v>
      </c>
      <c r="E31" s="40" t="s">
        <v>52</v>
      </c>
      <c r="F31" s="42"/>
      <c r="G31" s="41">
        <v>75.2</v>
      </c>
      <c r="H31" s="41">
        <v>72.0</v>
      </c>
      <c r="I31" s="41">
        <v>73.6</v>
      </c>
    </row>
    <row r="32">
      <c r="A32" s="39">
        <v>25.0</v>
      </c>
      <c r="B32" s="43" t="s">
        <v>225</v>
      </c>
      <c r="C32" s="40" t="s">
        <v>493</v>
      </c>
      <c r="D32" s="40" t="s">
        <v>88</v>
      </c>
      <c r="E32" s="40" t="s">
        <v>52</v>
      </c>
      <c r="F32" s="41">
        <v>75.6</v>
      </c>
      <c r="G32" s="41">
        <v>69.0</v>
      </c>
      <c r="H32" s="41">
        <v>76.0</v>
      </c>
      <c r="I32" s="41">
        <v>73.53333</v>
      </c>
    </row>
    <row r="33">
      <c r="A33" s="39">
        <v>26.0</v>
      </c>
      <c r="B33" s="43" t="s">
        <v>99</v>
      </c>
      <c r="C33" s="40" t="s">
        <v>118</v>
      </c>
      <c r="D33" s="40" t="s">
        <v>38</v>
      </c>
      <c r="E33" s="40" t="s">
        <v>52</v>
      </c>
      <c r="F33" s="41">
        <v>66.0</v>
      </c>
      <c r="G33" s="41">
        <v>80.0</v>
      </c>
      <c r="H33" s="41">
        <v>73.0</v>
      </c>
      <c r="I33" s="41">
        <v>73.0</v>
      </c>
    </row>
    <row r="34">
      <c r="A34" s="39">
        <v>27.0</v>
      </c>
      <c r="B34" s="43" t="s">
        <v>86</v>
      </c>
      <c r="C34" s="40" t="s">
        <v>494</v>
      </c>
      <c r="D34" s="40" t="s">
        <v>88</v>
      </c>
      <c r="E34" s="40" t="s">
        <v>39</v>
      </c>
      <c r="F34" s="41">
        <v>72.4</v>
      </c>
      <c r="G34" s="41">
        <v>96.0</v>
      </c>
      <c r="H34" s="41">
        <v>50.0</v>
      </c>
      <c r="I34" s="41">
        <v>72.8</v>
      </c>
    </row>
    <row r="35">
      <c r="A35" s="39">
        <v>28.0</v>
      </c>
      <c r="B35" s="43" t="s">
        <v>57</v>
      </c>
      <c r="C35" s="40" t="s">
        <v>530</v>
      </c>
      <c r="D35" s="40" t="s">
        <v>51</v>
      </c>
      <c r="E35" s="40" t="s">
        <v>52</v>
      </c>
      <c r="F35" s="42"/>
      <c r="G35" s="41">
        <v>65.2</v>
      </c>
      <c r="H35" s="41">
        <v>80.0</v>
      </c>
      <c r="I35" s="41">
        <v>72.6</v>
      </c>
    </row>
    <row r="36">
      <c r="A36" s="39">
        <v>29.0</v>
      </c>
      <c r="B36" s="43" t="s">
        <v>291</v>
      </c>
      <c r="C36" s="40" t="s">
        <v>290</v>
      </c>
      <c r="D36" s="40" t="s">
        <v>53</v>
      </c>
      <c r="E36" s="40" t="s">
        <v>52</v>
      </c>
      <c r="F36" s="41">
        <v>62.6</v>
      </c>
      <c r="G36" s="41">
        <v>76.0</v>
      </c>
      <c r="H36" s="41">
        <v>78.0</v>
      </c>
      <c r="I36" s="41">
        <v>72.2</v>
      </c>
    </row>
    <row r="37">
      <c r="A37" s="39">
        <v>30.0</v>
      </c>
      <c r="B37" s="43" t="s">
        <v>41</v>
      </c>
      <c r="C37" s="40" t="s">
        <v>411</v>
      </c>
      <c r="D37" s="40" t="s">
        <v>38</v>
      </c>
      <c r="E37" s="40" t="s">
        <v>39</v>
      </c>
      <c r="F37" s="41">
        <v>85.8</v>
      </c>
      <c r="G37" s="41">
        <v>80.4</v>
      </c>
      <c r="H37" s="41">
        <v>50.0</v>
      </c>
      <c r="I37" s="41">
        <v>72.06667</v>
      </c>
    </row>
    <row r="38">
      <c r="A38" s="39">
        <v>31.0</v>
      </c>
      <c r="B38" s="43" t="s">
        <v>234</v>
      </c>
      <c r="C38" s="40" t="s">
        <v>496</v>
      </c>
      <c r="D38" s="40" t="s">
        <v>53</v>
      </c>
      <c r="E38" s="40" t="s">
        <v>52</v>
      </c>
      <c r="F38" s="41">
        <v>82.0</v>
      </c>
      <c r="G38" s="41">
        <v>71.0</v>
      </c>
      <c r="H38" s="41">
        <v>57.0</v>
      </c>
      <c r="I38" s="41">
        <v>70.0</v>
      </c>
    </row>
    <row r="39">
      <c r="A39" s="39">
        <v>32.0</v>
      </c>
      <c r="B39" s="43" t="s">
        <v>195</v>
      </c>
      <c r="C39" s="40" t="s">
        <v>498</v>
      </c>
      <c r="D39" s="40" t="s">
        <v>88</v>
      </c>
      <c r="E39" s="40" t="s">
        <v>52</v>
      </c>
      <c r="F39" s="41">
        <v>70.4</v>
      </c>
      <c r="G39" s="41">
        <v>80.6</v>
      </c>
      <c r="H39" s="41">
        <v>59.0</v>
      </c>
      <c r="I39" s="41">
        <v>70.0</v>
      </c>
    </row>
    <row r="40">
      <c r="A40" s="39">
        <v>33.0</v>
      </c>
      <c r="B40" s="43" t="s">
        <v>200</v>
      </c>
      <c r="C40" s="40" t="s">
        <v>470</v>
      </c>
      <c r="D40" s="40" t="s">
        <v>38</v>
      </c>
      <c r="E40" s="40" t="s">
        <v>52</v>
      </c>
      <c r="F40" s="41">
        <v>67.0</v>
      </c>
      <c r="G40" s="41">
        <v>71.0</v>
      </c>
      <c r="H40" s="41">
        <v>71.0</v>
      </c>
      <c r="I40" s="41">
        <v>69.66667</v>
      </c>
    </row>
    <row r="41">
      <c r="A41" s="39">
        <v>34.0</v>
      </c>
      <c r="B41" s="43" t="s">
        <v>140</v>
      </c>
      <c r="C41" s="40" t="s">
        <v>499</v>
      </c>
      <c r="D41" s="40" t="s">
        <v>38</v>
      </c>
      <c r="E41" s="40" t="s">
        <v>59</v>
      </c>
      <c r="F41" s="41">
        <v>69.2</v>
      </c>
      <c r="G41" s="41">
        <v>77.0</v>
      </c>
      <c r="H41" s="41">
        <v>61.0</v>
      </c>
      <c r="I41" s="41">
        <v>69.06667</v>
      </c>
    </row>
    <row r="42">
      <c r="A42" s="39">
        <v>35.0</v>
      </c>
      <c r="B42" s="43" t="s">
        <v>188</v>
      </c>
      <c r="C42" s="40" t="s">
        <v>497</v>
      </c>
      <c r="D42" s="40" t="s">
        <v>88</v>
      </c>
      <c r="E42" s="40" t="s">
        <v>52</v>
      </c>
      <c r="F42" s="41">
        <v>67.2</v>
      </c>
      <c r="G42" s="42"/>
      <c r="H42" s="41">
        <v>68.0</v>
      </c>
      <c r="I42" s="41">
        <v>67.6</v>
      </c>
    </row>
    <row r="43">
      <c r="A43" s="39">
        <v>36.0</v>
      </c>
      <c r="B43" s="54" t="s">
        <v>202</v>
      </c>
      <c r="C43" s="55" t="s">
        <v>500</v>
      </c>
      <c r="D43" s="40" t="s">
        <v>60</v>
      </c>
      <c r="E43" s="40" t="s">
        <v>203</v>
      </c>
      <c r="F43" s="41">
        <v>57.4</v>
      </c>
      <c r="G43" s="41">
        <v>74.4</v>
      </c>
      <c r="H43" s="41">
        <v>71.0</v>
      </c>
      <c r="I43" s="41">
        <v>67.6</v>
      </c>
    </row>
    <row r="44">
      <c r="A44" s="39">
        <v>37.0</v>
      </c>
      <c r="B44" s="43" t="s">
        <v>77</v>
      </c>
      <c r="C44" s="40" t="s">
        <v>520</v>
      </c>
      <c r="D44" s="40" t="s">
        <v>38</v>
      </c>
      <c r="E44" s="40" t="s">
        <v>39</v>
      </c>
      <c r="F44" s="41">
        <v>62.0</v>
      </c>
      <c r="G44" s="42"/>
      <c r="H44" s="41">
        <v>73.0</v>
      </c>
      <c r="I44" s="41">
        <v>67.5</v>
      </c>
    </row>
    <row r="45">
      <c r="A45" s="39">
        <v>38.0</v>
      </c>
      <c r="B45" s="43" t="s">
        <v>106</v>
      </c>
      <c r="C45" s="40" t="s">
        <v>273</v>
      </c>
      <c r="D45" s="40" t="s">
        <v>53</v>
      </c>
      <c r="E45" s="40" t="s">
        <v>52</v>
      </c>
      <c r="F45" s="42"/>
      <c r="G45" s="41">
        <v>74.0</v>
      </c>
      <c r="H45" s="41">
        <v>61.0</v>
      </c>
      <c r="I45" s="41">
        <v>67.5</v>
      </c>
    </row>
    <row r="46">
      <c r="A46" s="39">
        <v>39.0</v>
      </c>
      <c r="B46" s="43" t="s">
        <v>248</v>
      </c>
      <c r="C46" s="40" t="s">
        <v>533</v>
      </c>
      <c r="D46" s="40" t="s">
        <v>53</v>
      </c>
      <c r="E46" s="40" t="s">
        <v>39</v>
      </c>
      <c r="F46" s="42"/>
      <c r="G46" s="41">
        <v>89.8</v>
      </c>
      <c r="H46" s="41">
        <v>44.0</v>
      </c>
      <c r="I46" s="41">
        <v>66.9</v>
      </c>
    </row>
    <row r="47">
      <c r="A47" s="39">
        <v>40.0</v>
      </c>
      <c r="B47" s="43" t="s">
        <v>228</v>
      </c>
      <c r="C47" s="40" t="s">
        <v>501</v>
      </c>
      <c r="D47" s="40" t="s">
        <v>53</v>
      </c>
      <c r="E47" s="40" t="s">
        <v>52</v>
      </c>
      <c r="F47" s="41">
        <v>80.0</v>
      </c>
      <c r="G47" s="41">
        <v>44.6</v>
      </c>
      <c r="H47" s="41">
        <v>76.0</v>
      </c>
      <c r="I47" s="41">
        <v>66.86667</v>
      </c>
    </row>
    <row r="48">
      <c r="A48" s="39">
        <v>41.0</v>
      </c>
      <c r="B48" s="43" t="s">
        <v>132</v>
      </c>
      <c r="C48" s="40" t="s">
        <v>502</v>
      </c>
      <c r="D48" s="40" t="s">
        <v>38</v>
      </c>
      <c r="E48" s="40" t="s">
        <v>52</v>
      </c>
      <c r="F48" s="41">
        <v>71.6</v>
      </c>
      <c r="G48" s="41">
        <v>53.4</v>
      </c>
      <c r="H48" s="41">
        <v>75.0</v>
      </c>
      <c r="I48" s="41">
        <v>66.66667</v>
      </c>
    </row>
    <row r="49">
      <c r="A49" s="39">
        <v>42.0</v>
      </c>
      <c r="B49" s="43" t="s">
        <v>253</v>
      </c>
      <c r="C49" s="40" t="s">
        <v>295</v>
      </c>
      <c r="D49" s="40" t="s">
        <v>53</v>
      </c>
      <c r="E49" s="40" t="s">
        <v>52</v>
      </c>
      <c r="F49" s="41">
        <v>81.6</v>
      </c>
      <c r="G49" s="42"/>
      <c r="H49" s="41">
        <v>50.0</v>
      </c>
      <c r="I49" s="41">
        <v>65.8</v>
      </c>
    </row>
    <row r="50">
      <c r="A50" s="39">
        <v>43.0</v>
      </c>
      <c r="B50" s="43" t="s">
        <v>205</v>
      </c>
      <c r="C50" s="40" t="s">
        <v>503</v>
      </c>
      <c r="D50" s="40" t="s">
        <v>38</v>
      </c>
      <c r="E50" s="40" t="s">
        <v>52</v>
      </c>
      <c r="F50" s="41">
        <v>60.4</v>
      </c>
      <c r="G50" s="41">
        <v>91.8</v>
      </c>
      <c r="H50" s="41">
        <v>45.0</v>
      </c>
      <c r="I50" s="41">
        <v>65.73333</v>
      </c>
    </row>
    <row r="51">
      <c r="A51" s="39">
        <v>44.0</v>
      </c>
      <c r="B51" s="43" t="s">
        <v>209</v>
      </c>
      <c r="C51" s="40" t="s">
        <v>504</v>
      </c>
      <c r="D51" s="40" t="s">
        <v>53</v>
      </c>
      <c r="E51" s="40" t="s">
        <v>59</v>
      </c>
      <c r="F51" s="41">
        <v>74.0</v>
      </c>
      <c r="G51" s="41">
        <v>56.4</v>
      </c>
      <c r="H51" s="41">
        <v>66.0</v>
      </c>
      <c r="I51" s="41">
        <v>65.46667</v>
      </c>
    </row>
    <row r="52">
      <c r="A52" s="39">
        <v>45.0</v>
      </c>
      <c r="B52" s="43" t="s">
        <v>243</v>
      </c>
      <c r="C52" s="40" t="s">
        <v>267</v>
      </c>
      <c r="D52" s="40" t="s">
        <v>53</v>
      </c>
      <c r="E52" s="40" t="s">
        <v>52</v>
      </c>
      <c r="F52" s="41">
        <v>72.4</v>
      </c>
      <c r="G52" s="41">
        <v>74.0</v>
      </c>
      <c r="H52" s="41">
        <v>50.0</v>
      </c>
      <c r="I52" s="41">
        <v>65.46667</v>
      </c>
    </row>
    <row r="53">
      <c r="A53" s="39">
        <v>46.0</v>
      </c>
      <c r="B53" s="43" t="s">
        <v>87</v>
      </c>
      <c r="C53" s="40" t="s">
        <v>505</v>
      </c>
      <c r="D53" s="40" t="s">
        <v>38</v>
      </c>
      <c r="E53" s="40" t="s">
        <v>52</v>
      </c>
      <c r="F53" s="41">
        <v>77.0</v>
      </c>
      <c r="G53" s="41">
        <v>62.2</v>
      </c>
      <c r="H53" s="41">
        <v>54.0</v>
      </c>
      <c r="I53" s="41">
        <v>64.4</v>
      </c>
    </row>
    <row r="54" ht="15.75" customHeight="1">
      <c r="A54" s="39">
        <v>47.0</v>
      </c>
      <c r="B54" s="43" t="s">
        <v>206</v>
      </c>
      <c r="C54" s="40" t="s">
        <v>506</v>
      </c>
      <c r="D54" s="40" t="s">
        <v>38</v>
      </c>
      <c r="E54" s="40" t="s">
        <v>52</v>
      </c>
      <c r="F54" s="41">
        <v>67.4</v>
      </c>
      <c r="G54" s="41">
        <v>74.2</v>
      </c>
      <c r="H54" s="41">
        <v>50.0</v>
      </c>
      <c r="I54" s="41">
        <v>63.86667</v>
      </c>
    </row>
    <row r="55">
      <c r="A55" s="39">
        <v>48.0</v>
      </c>
      <c r="B55" s="43" t="s">
        <v>145</v>
      </c>
      <c r="C55" s="40" t="s">
        <v>507</v>
      </c>
      <c r="D55" s="40" t="s">
        <v>51</v>
      </c>
      <c r="E55" s="40" t="s">
        <v>52</v>
      </c>
      <c r="F55" s="41">
        <v>72.4</v>
      </c>
      <c r="G55" s="41">
        <v>57.6</v>
      </c>
      <c r="H55" s="41">
        <v>60.0</v>
      </c>
      <c r="I55" s="41">
        <v>63.33333</v>
      </c>
    </row>
    <row r="56">
      <c r="A56" s="39">
        <v>49.0</v>
      </c>
      <c r="B56" s="43" t="s">
        <v>174</v>
      </c>
      <c r="C56" s="40" t="s">
        <v>479</v>
      </c>
      <c r="D56" s="40" t="s">
        <v>38</v>
      </c>
      <c r="E56" s="40" t="s">
        <v>39</v>
      </c>
      <c r="F56" s="41">
        <v>61.2</v>
      </c>
      <c r="G56" s="41">
        <v>71.4</v>
      </c>
      <c r="H56" s="41">
        <v>56.0</v>
      </c>
      <c r="I56" s="41">
        <v>62.86667</v>
      </c>
    </row>
    <row r="57">
      <c r="A57" s="39">
        <v>50.0</v>
      </c>
      <c r="B57" s="43" t="s">
        <v>325</v>
      </c>
      <c r="C57" s="40" t="s">
        <v>355</v>
      </c>
      <c r="D57" s="40" t="s">
        <v>51</v>
      </c>
      <c r="E57" s="40" t="s">
        <v>39</v>
      </c>
      <c r="F57" s="41">
        <v>65.4</v>
      </c>
      <c r="G57" s="41">
        <v>59.6</v>
      </c>
      <c r="H57" s="42"/>
      <c r="I57" s="41">
        <v>62.5</v>
      </c>
    </row>
    <row r="58">
      <c r="A58" s="39">
        <v>51.0</v>
      </c>
      <c r="B58" s="43" t="s">
        <v>158</v>
      </c>
      <c r="C58" s="40" t="s">
        <v>526</v>
      </c>
      <c r="D58" s="40" t="s">
        <v>38</v>
      </c>
      <c r="E58" s="40" t="s">
        <v>52</v>
      </c>
      <c r="F58" s="41">
        <v>62.4</v>
      </c>
      <c r="G58" s="42"/>
      <c r="H58" s="41">
        <v>62.0</v>
      </c>
      <c r="I58" s="41">
        <v>62.2</v>
      </c>
    </row>
    <row r="59">
      <c r="A59" s="39">
        <v>52.0</v>
      </c>
      <c r="B59" s="40" t="s">
        <v>100</v>
      </c>
      <c r="C59" s="40" t="s">
        <v>215</v>
      </c>
      <c r="D59" s="40" t="s">
        <v>38</v>
      </c>
      <c r="E59" s="40" t="s">
        <v>52</v>
      </c>
      <c r="F59" s="41">
        <v>64.6</v>
      </c>
      <c r="G59" s="41">
        <v>55.2</v>
      </c>
      <c r="H59" s="41">
        <v>66.0</v>
      </c>
      <c r="I59" s="41">
        <v>61.93333</v>
      </c>
    </row>
    <row r="60">
      <c r="A60" s="39">
        <v>53.0</v>
      </c>
      <c r="B60" s="40" t="s">
        <v>112</v>
      </c>
      <c r="C60" s="40" t="s">
        <v>275</v>
      </c>
      <c r="D60" s="40" t="s">
        <v>53</v>
      </c>
      <c r="E60" s="40" t="s">
        <v>52</v>
      </c>
      <c r="F60" s="41">
        <v>69.4</v>
      </c>
      <c r="G60" s="41">
        <v>69.0</v>
      </c>
      <c r="H60" s="41">
        <v>46.0</v>
      </c>
      <c r="I60" s="41">
        <v>61.46667</v>
      </c>
    </row>
    <row r="61">
      <c r="A61" s="39">
        <v>54.0</v>
      </c>
      <c r="B61" s="40" t="s">
        <v>107</v>
      </c>
      <c r="C61" s="40" t="s">
        <v>536</v>
      </c>
      <c r="D61" s="40" t="s">
        <v>38</v>
      </c>
      <c r="E61" s="40" t="s">
        <v>39</v>
      </c>
      <c r="F61" s="41">
        <v>43.8</v>
      </c>
      <c r="G61" s="41">
        <v>78.4</v>
      </c>
      <c r="H61" s="42"/>
      <c r="I61" s="41">
        <v>61.1</v>
      </c>
    </row>
    <row r="62">
      <c r="A62" s="39">
        <v>55.0</v>
      </c>
      <c r="B62" s="40" t="s">
        <v>103</v>
      </c>
      <c r="C62" s="40" t="s">
        <v>540</v>
      </c>
      <c r="D62" s="40" t="s">
        <v>88</v>
      </c>
      <c r="E62" s="40" t="s">
        <v>39</v>
      </c>
      <c r="F62" s="42"/>
      <c r="G62" s="41">
        <v>60.8</v>
      </c>
      <c r="H62" s="41">
        <v>59.0</v>
      </c>
      <c r="I62" s="41">
        <v>59.9</v>
      </c>
    </row>
    <row r="63">
      <c r="A63" s="39">
        <v>56.0</v>
      </c>
      <c r="B63" s="40" t="s">
        <v>36</v>
      </c>
      <c r="C63" s="40" t="s">
        <v>450</v>
      </c>
      <c r="D63" s="40" t="s">
        <v>38</v>
      </c>
      <c r="E63" s="40" t="s">
        <v>39</v>
      </c>
      <c r="F63" s="41">
        <v>53.6</v>
      </c>
      <c r="G63" s="41">
        <v>74.8</v>
      </c>
      <c r="H63" s="41">
        <v>51.0</v>
      </c>
      <c r="I63" s="41">
        <v>59.8</v>
      </c>
    </row>
    <row r="64">
      <c r="A64" s="39">
        <v>57.0</v>
      </c>
      <c r="B64" s="40" t="s">
        <v>65</v>
      </c>
      <c r="C64" s="40" t="s">
        <v>532</v>
      </c>
      <c r="D64" s="40" t="s">
        <v>53</v>
      </c>
      <c r="E64" s="40" t="s">
        <v>39</v>
      </c>
      <c r="F64" s="41">
        <v>67.6</v>
      </c>
      <c r="G64" s="41">
        <v>92.4</v>
      </c>
      <c r="H64" s="41">
        <v>15.0</v>
      </c>
      <c r="I64" s="41">
        <v>58.33333</v>
      </c>
    </row>
    <row r="65">
      <c r="A65" s="39">
        <v>58.0</v>
      </c>
      <c r="B65" s="43" t="s">
        <v>332</v>
      </c>
      <c r="C65" s="40" t="s">
        <v>544</v>
      </c>
      <c r="D65" s="40" t="s">
        <v>51</v>
      </c>
      <c r="E65" s="40" t="s">
        <v>39</v>
      </c>
      <c r="F65" s="41">
        <v>49.6</v>
      </c>
      <c r="G65" s="41">
        <v>67.0</v>
      </c>
      <c r="H65" s="42"/>
      <c r="I65" s="41">
        <v>58.3</v>
      </c>
    </row>
    <row r="66">
      <c r="A66" s="39">
        <v>59.0</v>
      </c>
      <c r="B66" s="43" t="s">
        <v>148</v>
      </c>
      <c r="C66" s="40" t="s">
        <v>519</v>
      </c>
      <c r="D66" s="40" t="s">
        <v>38</v>
      </c>
      <c r="E66" s="40" t="s">
        <v>52</v>
      </c>
      <c r="F66" s="41">
        <v>60.0</v>
      </c>
      <c r="G66" s="41">
        <v>36.6</v>
      </c>
      <c r="H66" s="41">
        <v>78.0</v>
      </c>
      <c r="I66" s="41">
        <v>58.2</v>
      </c>
    </row>
    <row r="67">
      <c r="A67" s="39">
        <v>60.0</v>
      </c>
      <c r="B67" s="43" t="s">
        <v>163</v>
      </c>
      <c r="C67" s="40" t="s">
        <v>539</v>
      </c>
      <c r="D67" s="40" t="s">
        <v>53</v>
      </c>
      <c r="E67" s="40" t="s">
        <v>52</v>
      </c>
      <c r="F67" s="41">
        <v>60.0</v>
      </c>
      <c r="G67" s="41">
        <v>74.6</v>
      </c>
      <c r="H67" s="41">
        <v>39.0</v>
      </c>
      <c r="I67" s="41">
        <v>57.86667</v>
      </c>
    </row>
    <row r="68">
      <c r="A68" s="39">
        <v>61.0</v>
      </c>
      <c r="B68" s="43" t="s">
        <v>70</v>
      </c>
      <c r="C68" s="40" t="s">
        <v>257</v>
      </c>
      <c r="D68" s="40" t="s">
        <v>38</v>
      </c>
      <c r="E68" s="40" t="s">
        <v>52</v>
      </c>
      <c r="F68" s="41">
        <v>71.6</v>
      </c>
      <c r="G68" s="41">
        <v>51.0</v>
      </c>
      <c r="H68" s="41">
        <v>50.0</v>
      </c>
      <c r="I68" s="41">
        <v>57.53333</v>
      </c>
    </row>
    <row r="69">
      <c r="A69" s="39">
        <v>62.0</v>
      </c>
      <c r="B69" s="43" t="s">
        <v>90</v>
      </c>
      <c r="C69" s="40" t="s">
        <v>528</v>
      </c>
      <c r="D69" s="40" t="s">
        <v>38</v>
      </c>
      <c r="E69" s="40" t="s">
        <v>52</v>
      </c>
      <c r="F69" s="41">
        <v>65.0</v>
      </c>
      <c r="G69" s="41">
        <v>56.4</v>
      </c>
      <c r="H69" s="41">
        <v>51.0</v>
      </c>
      <c r="I69" s="41">
        <v>57.46667</v>
      </c>
    </row>
    <row r="70">
      <c r="A70" s="39">
        <v>63.0</v>
      </c>
      <c r="B70" s="43" t="s">
        <v>159</v>
      </c>
      <c r="C70" s="40" t="s">
        <v>406</v>
      </c>
      <c r="D70" s="40" t="s">
        <v>38</v>
      </c>
      <c r="E70" s="40" t="s">
        <v>52</v>
      </c>
      <c r="F70" s="41">
        <v>60.2</v>
      </c>
      <c r="G70" s="41">
        <v>60.2</v>
      </c>
      <c r="H70" s="41">
        <v>51.0</v>
      </c>
      <c r="I70" s="41">
        <v>57.13333</v>
      </c>
    </row>
    <row r="71">
      <c r="A71" s="39">
        <v>64.0</v>
      </c>
      <c r="B71" s="43" t="s">
        <v>82</v>
      </c>
      <c r="C71" s="40" t="s">
        <v>558</v>
      </c>
      <c r="D71" s="40" t="s">
        <v>51</v>
      </c>
      <c r="E71" s="40" t="s">
        <v>52</v>
      </c>
      <c r="F71" s="42"/>
      <c r="G71" s="41">
        <v>56.6</v>
      </c>
      <c r="H71" s="41">
        <v>57.0</v>
      </c>
      <c r="I71" s="41">
        <v>56.8</v>
      </c>
    </row>
    <row r="72">
      <c r="A72" s="39">
        <v>65.0</v>
      </c>
      <c r="B72" s="43" t="s">
        <v>98</v>
      </c>
      <c r="C72" s="40" t="s">
        <v>550</v>
      </c>
      <c r="D72" s="40" t="s">
        <v>88</v>
      </c>
      <c r="E72" s="40" t="s">
        <v>39</v>
      </c>
      <c r="F72" s="41">
        <v>56.0</v>
      </c>
      <c r="G72" s="41">
        <v>60.0</v>
      </c>
      <c r="H72" s="41">
        <v>52.0</v>
      </c>
      <c r="I72" s="41">
        <v>56.0</v>
      </c>
    </row>
    <row r="73">
      <c r="A73" s="39">
        <v>66.0</v>
      </c>
      <c r="B73" s="43" t="s">
        <v>116</v>
      </c>
      <c r="C73" s="40" t="s">
        <v>545</v>
      </c>
      <c r="D73" s="40" t="s">
        <v>53</v>
      </c>
      <c r="E73" s="40" t="s">
        <v>52</v>
      </c>
      <c r="F73" s="41">
        <v>46.4</v>
      </c>
      <c r="G73" s="41">
        <v>65.8</v>
      </c>
      <c r="H73" s="41">
        <v>55.0</v>
      </c>
      <c r="I73" s="41">
        <v>55.73333</v>
      </c>
    </row>
    <row r="74">
      <c r="A74" s="39">
        <v>67.0</v>
      </c>
      <c r="B74" s="43" t="s">
        <v>259</v>
      </c>
      <c r="C74" s="40" t="s">
        <v>286</v>
      </c>
      <c r="D74" s="40" t="s">
        <v>53</v>
      </c>
      <c r="E74" s="40" t="s">
        <v>52</v>
      </c>
      <c r="F74" s="41">
        <v>62.0</v>
      </c>
      <c r="G74" s="41">
        <v>62.0</v>
      </c>
      <c r="H74" s="41">
        <v>42.0</v>
      </c>
      <c r="I74" s="41">
        <v>55.33333</v>
      </c>
    </row>
    <row r="75">
      <c r="A75" s="39">
        <v>68.0</v>
      </c>
      <c r="B75" s="43" t="s">
        <v>316</v>
      </c>
      <c r="C75" s="40" t="s">
        <v>531</v>
      </c>
      <c r="D75" s="40" t="s">
        <v>51</v>
      </c>
      <c r="E75" s="40" t="s">
        <v>39</v>
      </c>
      <c r="F75" s="42"/>
      <c r="G75" s="41">
        <v>92.6</v>
      </c>
      <c r="H75" s="41">
        <v>18.0</v>
      </c>
      <c r="I75" s="41">
        <v>55.3</v>
      </c>
    </row>
    <row r="76">
      <c r="A76" s="39">
        <v>69.0</v>
      </c>
      <c r="B76" s="43" t="s">
        <v>43</v>
      </c>
      <c r="C76" s="40" t="s">
        <v>49</v>
      </c>
      <c r="D76" s="40" t="s">
        <v>53</v>
      </c>
      <c r="E76" s="40" t="s">
        <v>59</v>
      </c>
      <c r="F76" s="41">
        <v>52.0</v>
      </c>
      <c r="G76" s="41">
        <v>64.2</v>
      </c>
      <c r="H76" s="41">
        <v>48.0</v>
      </c>
      <c r="I76" s="41">
        <v>54.73333</v>
      </c>
    </row>
    <row r="77">
      <c r="A77" s="39">
        <v>70.0</v>
      </c>
      <c r="B77" s="43" t="s">
        <v>250</v>
      </c>
      <c r="C77" s="40" t="s">
        <v>432</v>
      </c>
      <c r="D77" s="40" t="s">
        <v>53</v>
      </c>
      <c r="E77" s="40" t="s">
        <v>39</v>
      </c>
      <c r="F77" s="41">
        <v>62.8</v>
      </c>
      <c r="G77" s="41">
        <v>82.2</v>
      </c>
      <c r="H77" s="41">
        <v>19.0</v>
      </c>
      <c r="I77" s="41">
        <v>54.66667</v>
      </c>
    </row>
    <row r="78">
      <c r="A78" s="39">
        <v>71.0</v>
      </c>
      <c r="B78" s="43" t="s">
        <v>55</v>
      </c>
      <c r="C78" s="40" t="s">
        <v>445</v>
      </c>
      <c r="D78" s="40" t="s">
        <v>60</v>
      </c>
      <c r="E78" s="40" t="s">
        <v>62</v>
      </c>
      <c r="F78" s="41">
        <v>39.0</v>
      </c>
      <c r="G78" s="41">
        <v>65.0</v>
      </c>
      <c r="H78" s="41">
        <v>59.0</v>
      </c>
      <c r="I78" s="41">
        <v>54.33333</v>
      </c>
    </row>
    <row r="79">
      <c r="A79" s="39">
        <v>72.0</v>
      </c>
      <c r="B79" s="43" t="s">
        <v>328</v>
      </c>
      <c r="C79" s="40" t="s">
        <v>562</v>
      </c>
      <c r="D79" s="40" t="s">
        <v>38</v>
      </c>
      <c r="E79" s="40" t="s">
        <v>52</v>
      </c>
      <c r="F79" s="41">
        <v>55.2</v>
      </c>
      <c r="G79" s="42"/>
      <c r="H79" s="41">
        <v>53.0</v>
      </c>
      <c r="I79" s="41">
        <v>54.1</v>
      </c>
    </row>
    <row r="80">
      <c r="A80" s="39">
        <v>73.0</v>
      </c>
      <c r="B80" s="43" t="s">
        <v>91</v>
      </c>
      <c r="C80" s="40" t="s">
        <v>511</v>
      </c>
      <c r="D80" s="40" t="s">
        <v>88</v>
      </c>
      <c r="E80" s="40" t="s">
        <v>39</v>
      </c>
      <c r="F80" s="42"/>
      <c r="G80" s="41">
        <v>60.0</v>
      </c>
      <c r="H80" s="41">
        <v>48.0</v>
      </c>
      <c r="I80" s="41">
        <v>54.0</v>
      </c>
    </row>
    <row r="81">
      <c r="A81" s="39">
        <v>74.0</v>
      </c>
      <c r="B81" s="43" t="s">
        <v>210</v>
      </c>
      <c r="C81" s="40" t="s">
        <v>551</v>
      </c>
      <c r="D81" s="40" t="s">
        <v>38</v>
      </c>
      <c r="E81" s="40" t="s">
        <v>52</v>
      </c>
      <c r="F81" s="41">
        <v>62.8</v>
      </c>
      <c r="G81" s="41">
        <v>59.0</v>
      </c>
      <c r="H81" s="41">
        <v>40.0</v>
      </c>
      <c r="I81" s="41">
        <v>53.93333</v>
      </c>
    </row>
    <row r="82">
      <c r="A82" s="39">
        <v>75.0</v>
      </c>
      <c r="B82" s="43" t="s">
        <v>111</v>
      </c>
      <c r="C82" s="40" t="s">
        <v>396</v>
      </c>
      <c r="D82" s="40" t="s">
        <v>53</v>
      </c>
      <c r="E82" s="40" t="s">
        <v>39</v>
      </c>
      <c r="F82" s="42"/>
      <c r="G82" s="41">
        <v>89.0</v>
      </c>
      <c r="H82" s="41">
        <v>18.0</v>
      </c>
      <c r="I82" s="41">
        <v>53.5</v>
      </c>
    </row>
    <row r="83">
      <c r="A83" s="39">
        <v>76.0</v>
      </c>
      <c r="B83" s="43" t="s">
        <v>310</v>
      </c>
      <c r="C83" s="40" t="s">
        <v>428</v>
      </c>
      <c r="D83" s="40" t="s">
        <v>51</v>
      </c>
      <c r="E83" s="40" t="s">
        <v>39</v>
      </c>
      <c r="F83" s="41">
        <v>77.2</v>
      </c>
      <c r="G83" s="41">
        <v>61.8</v>
      </c>
      <c r="H83" s="41">
        <v>20.0</v>
      </c>
      <c r="I83" s="41">
        <v>53.0</v>
      </c>
    </row>
    <row r="84">
      <c r="A84" s="39">
        <v>77.0</v>
      </c>
      <c r="B84" s="43" t="s">
        <v>139</v>
      </c>
      <c r="C84" s="40" t="s">
        <v>513</v>
      </c>
      <c r="D84" s="40" t="s">
        <v>53</v>
      </c>
      <c r="E84" s="40" t="s">
        <v>52</v>
      </c>
      <c r="F84" s="41">
        <v>73.6</v>
      </c>
      <c r="G84" s="42"/>
      <c r="H84" s="41">
        <v>82.0</v>
      </c>
      <c r="I84" s="41">
        <v>51.86667</v>
      </c>
    </row>
    <row r="85">
      <c r="A85" s="39">
        <v>78.0</v>
      </c>
      <c r="B85" s="43" t="s">
        <v>73</v>
      </c>
      <c r="C85" s="40" t="s">
        <v>541</v>
      </c>
      <c r="D85" s="40" t="s">
        <v>38</v>
      </c>
      <c r="E85" s="40" t="s">
        <v>39</v>
      </c>
      <c r="F85" s="41">
        <v>46.4</v>
      </c>
      <c r="G85" s="41">
        <v>73.6</v>
      </c>
      <c r="H85" s="41">
        <v>35.0</v>
      </c>
      <c r="I85" s="41">
        <v>51.66667</v>
      </c>
    </row>
    <row r="86">
      <c r="A86" s="39">
        <v>79.0</v>
      </c>
      <c r="B86" s="43" t="s">
        <v>72</v>
      </c>
      <c r="C86" s="40" t="s">
        <v>567</v>
      </c>
      <c r="D86" s="40" t="s">
        <v>53</v>
      </c>
      <c r="E86" s="40" t="s">
        <v>39</v>
      </c>
      <c r="F86" s="42"/>
      <c r="G86" s="42"/>
      <c r="H86" s="41">
        <v>99.0</v>
      </c>
      <c r="I86" s="41">
        <v>49.5</v>
      </c>
    </row>
    <row r="87">
      <c r="A87" s="39">
        <v>80.0</v>
      </c>
      <c r="B87" s="43" t="s">
        <v>177</v>
      </c>
      <c r="C87" s="40" t="s">
        <v>522</v>
      </c>
      <c r="D87" s="40" t="s">
        <v>53</v>
      </c>
      <c r="E87" s="40" t="s">
        <v>52</v>
      </c>
      <c r="F87" s="42"/>
      <c r="G87" s="41">
        <v>46.0</v>
      </c>
      <c r="H87" s="41">
        <v>53.0</v>
      </c>
      <c r="I87" s="41">
        <v>49.5</v>
      </c>
    </row>
    <row r="88">
      <c r="A88" s="39">
        <v>81.0</v>
      </c>
      <c r="B88" s="43" t="s">
        <v>42</v>
      </c>
      <c r="C88" s="40" t="s">
        <v>568</v>
      </c>
      <c r="D88" s="40" t="s">
        <v>51</v>
      </c>
      <c r="E88" s="40" t="s">
        <v>39</v>
      </c>
      <c r="F88" s="42"/>
      <c r="G88" s="42"/>
      <c r="H88" s="41">
        <v>95.0</v>
      </c>
      <c r="I88" s="41">
        <v>47.5</v>
      </c>
    </row>
    <row r="89">
      <c r="A89" s="39">
        <v>82.0</v>
      </c>
      <c r="B89" s="43" t="s">
        <v>306</v>
      </c>
      <c r="C89" s="40" t="s">
        <v>459</v>
      </c>
      <c r="D89" s="40" t="s">
        <v>51</v>
      </c>
      <c r="E89" s="40" t="s">
        <v>39</v>
      </c>
      <c r="F89" s="42"/>
      <c r="G89" s="41">
        <v>75.8</v>
      </c>
      <c r="H89" s="41">
        <v>19.0</v>
      </c>
      <c r="I89" s="41">
        <v>47.4</v>
      </c>
    </row>
    <row r="90">
      <c r="A90" s="39">
        <v>83.0</v>
      </c>
      <c r="B90" s="43" t="s">
        <v>324</v>
      </c>
      <c r="C90" s="40" t="s">
        <v>529</v>
      </c>
      <c r="D90" s="40" t="s">
        <v>53</v>
      </c>
      <c r="E90" s="40" t="s">
        <v>39</v>
      </c>
      <c r="F90" s="42"/>
      <c r="G90" s="41">
        <v>94.2</v>
      </c>
      <c r="H90" s="42"/>
      <c r="I90" s="41">
        <v>47.1</v>
      </c>
    </row>
    <row r="91">
      <c r="A91" s="39">
        <v>84.0</v>
      </c>
      <c r="B91" s="43" t="s">
        <v>78</v>
      </c>
      <c r="C91" s="40" t="s">
        <v>571</v>
      </c>
      <c r="D91" s="40" t="s">
        <v>38</v>
      </c>
      <c r="E91" s="40" t="s">
        <v>39</v>
      </c>
      <c r="F91" s="41">
        <v>44.6</v>
      </c>
      <c r="G91" s="41">
        <v>48.6</v>
      </c>
      <c r="H91" s="41">
        <v>48.0</v>
      </c>
      <c r="I91" s="41">
        <v>47.06667</v>
      </c>
    </row>
    <row r="92">
      <c r="A92" s="39">
        <v>85.0</v>
      </c>
      <c r="B92" s="43" t="s">
        <v>340</v>
      </c>
      <c r="C92" s="40" t="s">
        <v>572</v>
      </c>
      <c r="D92" s="40" t="s">
        <v>38</v>
      </c>
      <c r="E92" s="40" t="s">
        <v>39</v>
      </c>
      <c r="F92" s="41">
        <v>51.2</v>
      </c>
      <c r="G92" s="42"/>
      <c r="H92" s="41">
        <v>42.0</v>
      </c>
      <c r="I92" s="41">
        <v>46.6</v>
      </c>
    </row>
    <row r="93">
      <c r="A93" s="39">
        <v>86.0</v>
      </c>
      <c r="B93" s="43" t="s">
        <v>251</v>
      </c>
      <c r="C93" s="40" t="s">
        <v>518</v>
      </c>
      <c r="D93" s="40" t="s">
        <v>53</v>
      </c>
      <c r="E93" s="40" t="s">
        <v>52</v>
      </c>
      <c r="F93" s="41">
        <v>60.0</v>
      </c>
      <c r="G93" s="42"/>
      <c r="H93" s="41">
        <v>79.0</v>
      </c>
      <c r="I93" s="41">
        <v>46.33333</v>
      </c>
    </row>
    <row r="94">
      <c r="A94" s="39">
        <v>87.0</v>
      </c>
      <c r="B94" s="43" t="s">
        <v>321</v>
      </c>
      <c r="C94" s="40" t="s">
        <v>537</v>
      </c>
      <c r="D94" s="40" t="s">
        <v>51</v>
      </c>
      <c r="E94" s="40" t="s">
        <v>39</v>
      </c>
      <c r="F94" s="42"/>
      <c r="G94" s="41">
        <v>77.6</v>
      </c>
      <c r="H94" s="41">
        <v>15.0</v>
      </c>
      <c r="I94" s="41">
        <v>46.3</v>
      </c>
    </row>
    <row r="95">
      <c r="A95" s="39">
        <v>88.0</v>
      </c>
      <c r="B95" s="43" t="s">
        <v>119</v>
      </c>
      <c r="C95" s="40" t="s">
        <v>574</v>
      </c>
      <c r="D95" s="40" t="s">
        <v>53</v>
      </c>
      <c r="E95" s="40" t="s">
        <v>39</v>
      </c>
      <c r="F95" s="42"/>
      <c r="G95" s="42"/>
      <c r="H95" s="41">
        <v>90.0</v>
      </c>
      <c r="I95" s="41">
        <v>45.0</v>
      </c>
    </row>
    <row r="96">
      <c r="A96" s="39">
        <v>89.0</v>
      </c>
      <c r="B96" s="43" t="s">
        <v>110</v>
      </c>
      <c r="C96" s="40" t="s">
        <v>575</v>
      </c>
      <c r="D96" s="40" t="s">
        <v>53</v>
      </c>
      <c r="E96" s="40" t="s">
        <v>52</v>
      </c>
      <c r="F96" s="41">
        <v>40.2</v>
      </c>
      <c r="G96" s="41">
        <v>39.8</v>
      </c>
      <c r="H96" s="41">
        <v>49.0</v>
      </c>
      <c r="I96" s="41">
        <v>43.0</v>
      </c>
    </row>
    <row r="97">
      <c r="A97" s="39">
        <v>90.0</v>
      </c>
      <c r="B97" s="43" t="s">
        <v>144</v>
      </c>
      <c r="C97" s="40" t="s">
        <v>576</v>
      </c>
      <c r="D97" s="40" t="s">
        <v>53</v>
      </c>
      <c r="E97" s="40" t="s">
        <v>59</v>
      </c>
      <c r="F97" s="41">
        <v>66.4</v>
      </c>
      <c r="G97" s="41">
        <v>21.2</v>
      </c>
      <c r="H97" s="41">
        <v>40.0</v>
      </c>
      <c r="I97" s="41">
        <v>42.53333</v>
      </c>
    </row>
    <row r="98">
      <c r="A98" s="39">
        <v>91.0</v>
      </c>
      <c r="B98" s="43" t="s">
        <v>123</v>
      </c>
      <c r="C98" s="40" t="s">
        <v>579</v>
      </c>
      <c r="D98" s="40" t="s">
        <v>38</v>
      </c>
      <c r="E98" s="40" t="s">
        <v>52</v>
      </c>
      <c r="F98" s="42"/>
      <c r="G98" s="42"/>
      <c r="H98" s="41">
        <v>84.0</v>
      </c>
      <c r="I98" s="41">
        <v>42.0</v>
      </c>
    </row>
    <row r="99">
      <c r="A99" s="39">
        <v>92.0</v>
      </c>
      <c r="B99" s="43" t="s">
        <v>30</v>
      </c>
      <c r="C99" s="40" t="s">
        <v>580</v>
      </c>
      <c r="D99" s="40" t="s">
        <v>53</v>
      </c>
      <c r="E99" s="40" t="s">
        <v>39</v>
      </c>
      <c r="F99" s="42"/>
      <c r="G99" s="42"/>
      <c r="H99" s="41">
        <v>84.0</v>
      </c>
      <c r="I99" s="41">
        <v>42.0</v>
      </c>
    </row>
    <row r="100">
      <c r="A100" s="39">
        <v>93.0</v>
      </c>
      <c r="B100" s="43" t="s">
        <v>128</v>
      </c>
      <c r="C100" s="40" t="s">
        <v>581</v>
      </c>
      <c r="D100" s="40" t="s">
        <v>53</v>
      </c>
      <c r="E100" s="40" t="s">
        <v>39</v>
      </c>
      <c r="F100" s="42"/>
      <c r="G100" s="42"/>
      <c r="H100" s="41">
        <v>82.0</v>
      </c>
      <c r="I100" s="41">
        <v>41.0</v>
      </c>
    </row>
    <row r="101">
      <c r="A101" s="39">
        <v>94.0</v>
      </c>
      <c r="B101" s="43" t="s">
        <v>584</v>
      </c>
      <c r="C101" s="40" t="s">
        <v>585</v>
      </c>
      <c r="D101" s="40" t="s">
        <v>53</v>
      </c>
      <c r="E101" s="40" t="s">
        <v>39</v>
      </c>
      <c r="F101" s="42"/>
      <c r="G101" s="42"/>
      <c r="H101" s="41">
        <v>80.0</v>
      </c>
      <c r="I101" s="41">
        <v>40.0</v>
      </c>
    </row>
    <row r="102">
      <c r="A102" s="39">
        <v>95.0</v>
      </c>
      <c r="B102" s="43" t="s">
        <v>134</v>
      </c>
      <c r="C102" s="40" t="s">
        <v>586</v>
      </c>
      <c r="D102" s="40" t="s">
        <v>53</v>
      </c>
      <c r="E102" s="40" t="s">
        <v>39</v>
      </c>
      <c r="F102" s="42"/>
      <c r="G102" s="42"/>
      <c r="H102" s="41">
        <v>79.0</v>
      </c>
      <c r="I102" s="41">
        <v>39.5</v>
      </c>
    </row>
    <row r="103">
      <c r="A103" s="39">
        <v>96.0</v>
      </c>
      <c r="B103" s="43" t="s">
        <v>191</v>
      </c>
      <c r="C103" s="40" t="s">
        <v>561</v>
      </c>
      <c r="D103" s="40" t="s">
        <v>38</v>
      </c>
      <c r="E103" s="40" t="s">
        <v>52</v>
      </c>
      <c r="F103" s="41">
        <v>54.4</v>
      </c>
      <c r="G103" s="41">
        <v>50.2</v>
      </c>
      <c r="H103" s="41">
        <v>13.0</v>
      </c>
      <c r="I103" s="41">
        <v>39.2</v>
      </c>
    </row>
    <row r="104">
      <c r="A104" s="39">
        <v>97.0</v>
      </c>
      <c r="B104" s="43" t="s">
        <v>587</v>
      </c>
      <c r="C104" s="40" t="s">
        <v>588</v>
      </c>
      <c r="D104" s="40" t="s">
        <v>53</v>
      </c>
      <c r="E104" s="40" t="s">
        <v>39</v>
      </c>
      <c r="F104" s="42"/>
      <c r="G104" s="42"/>
      <c r="H104" s="41">
        <v>78.0</v>
      </c>
      <c r="I104" s="41">
        <v>39.0</v>
      </c>
    </row>
    <row r="105">
      <c r="A105" s="39">
        <v>98.0</v>
      </c>
      <c r="B105" s="43" t="s">
        <v>318</v>
      </c>
      <c r="C105" s="40" t="s">
        <v>477</v>
      </c>
      <c r="D105" s="40" t="s">
        <v>51</v>
      </c>
      <c r="E105" s="40" t="s">
        <v>39</v>
      </c>
      <c r="F105" s="42"/>
      <c r="G105" s="41">
        <v>58.2</v>
      </c>
      <c r="H105" s="41">
        <v>18.0</v>
      </c>
      <c r="I105" s="41">
        <v>38.1</v>
      </c>
    </row>
    <row r="106">
      <c r="A106" s="39">
        <v>99.0</v>
      </c>
      <c r="B106" s="43" t="s">
        <v>304</v>
      </c>
      <c r="C106" s="40" t="s">
        <v>589</v>
      </c>
      <c r="D106" s="40" t="s">
        <v>53</v>
      </c>
      <c r="E106" s="40" t="s">
        <v>39</v>
      </c>
      <c r="F106" s="42"/>
      <c r="G106" s="42"/>
      <c r="H106" s="41">
        <v>76.0</v>
      </c>
      <c r="I106" s="41">
        <v>38.0</v>
      </c>
    </row>
    <row r="107">
      <c r="A107" s="39">
        <v>100.0</v>
      </c>
      <c r="B107" s="43" t="s">
        <v>221</v>
      </c>
      <c r="C107" s="40" t="s">
        <v>590</v>
      </c>
      <c r="D107" s="40" t="s">
        <v>53</v>
      </c>
      <c r="E107" s="40" t="s">
        <v>39</v>
      </c>
      <c r="F107" s="42"/>
      <c r="G107" s="42"/>
      <c r="H107" s="41">
        <v>71.0</v>
      </c>
      <c r="I107" s="41">
        <v>35.5</v>
      </c>
    </row>
    <row r="108">
      <c r="A108" s="39">
        <v>101.0</v>
      </c>
      <c r="B108" s="43" t="s">
        <v>66</v>
      </c>
      <c r="C108" s="40" t="s">
        <v>592</v>
      </c>
      <c r="D108" s="40" t="s">
        <v>53</v>
      </c>
      <c r="E108" s="40" t="s">
        <v>39</v>
      </c>
      <c r="F108" s="42"/>
      <c r="G108" s="42"/>
      <c r="H108" s="41">
        <v>69.0</v>
      </c>
      <c r="I108" s="41">
        <v>34.5</v>
      </c>
    </row>
    <row r="109">
      <c r="A109" s="39">
        <v>102.0</v>
      </c>
      <c r="B109" s="43" t="s">
        <v>342</v>
      </c>
      <c r="C109" s="40" t="s">
        <v>593</v>
      </c>
      <c r="D109" s="40" t="s">
        <v>38</v>
      </c>
      <c r="E109" s="40" t="s">
        <v>52</v>
      </c>
      <c r="F109" s="41">
        <v>68.4</v>
      </c>
      <c r="G109" s="42"/>
      <c r="H109" s="42"/>
      <c r="I109" s="41">
        <v>34.2</v>
      </c>
    </row>
    <row r="110">
      <c r="A110" s="39">
        <v>103.0</v>
      </c>
      <c r="B110" s="43" t="s">
        <v>157</v>
      </c>
      <c r="C110" s="40" t="s">
        <v>591</v>
      </c>
      <c r="D110" s="40" t="s">
        <v>38</v>
      </c>
      <c r="E110" s="40" t="s">
        <v>39</v>
      </c>
      <c r="F110" s="42"/>
      <c r="G110" s="42"/>
      <c r="H110" s="41">
        <v>67.0</v>
      </c>
      <c r="I110" s="41">
        <v>33.5</v>
      </c>
    </row>
    <row r="111">
      <c r="A111" s="39">
        <v>104.0</v>
      </c>
      <c r="B111" s="43" t="s">
        <v>320</v>
      </c>
      <c r="C111" s="40" t="s">
        <v>596</v>
      </c>
      <c r="D111" s="40" t="s">
        <v>38</v>
      </c>
      <c r="E111" s="40" t="s">
        <v>39</v>
      </c>
      <c r="F111" s="42"/>
      <c r="G111" s="42"/>
      <c r="H111" s="41">
        <v>67.0</v>
      </c>
      <c r="I111" s="41">
        <v>33.5</v>
      </c>
    </row>
    <row r="112">
      <c r="A112" s="39">
        <v>105.0</v>
      </c>
      <c r="B112" s="43" t="s">
        <v>365</v>
      </c>
      <c r="C112" s="40" t="s">
        <v>573</v>
      </c>
      <c r="D112" s="40" t="s">
        <v>53</v>
      </c>
      <c r="E112" s="40" t="s">
        <v>39</v>
      </c>
      <c r="F112" s="41">
        <v>63.0</v>
      </c>
      <c r="G112" s="42"/>
      <c r="H112" s="42"/>
      <c r="I112" s="41">
        <v>31.5</v>
      </c>
    </row>
    <row r="113">
      <c r="A113" s="39">
        <v>106.0</v>
      </c>
      <c r="B113" s="43" t="s">
        <v>61</v>
      </c>
      <c r="C113" s="40" t="s">
        <v>597</v>
      </c>
      <c r="D113" s="40" t="s">
        <v>38</v>
      </c>
      <c r="E113" s="40" t="s">
        <v>39</v>
      </c>
      <c r="F113" s="41">
        <v>30.2</v>
      </c>
      <c r="G113" s="41">
        <v>44.2</v>
      </c>
      <c r="H113" s="41">
        <v>19.0</v>
      </c>
      <c r="I113" s="41">
        <v>31.13333</v>
      </c>
    </row>
    <row r="114">
      <c r="A114" s="39">
        <v>107.0</v>
      </c>
      <c r="B114" s="43" t="s">
        <v>271</v>
      </c>
      <c r="C114" s="40" t="s">
        <v>598</v>
      </c>
      <c r="D114" s="40" t="s">
        <v>53</v>
      </c>
      <c r="E114" s="40" t="s">
        <v>39</v>
      </c>
      <c r="F114" s="42"/>
      <c r="G114" s="42"/>
      <c r="H114" s="41">
        <v>59.0</v>
      </c>
      <c r="I114" s="41">
        <v>29.5</v>
      </c>
    </row>
    <row r="115">
      <c r="A115" s="39">
        <v>108.0</v>
      </c>
      <c r="B115" s="43" t="s">
        <v>121</v>
      </c>
      <c r="C115" s="40" t="s">
        <v>599</v>
      </c>
      <c r="D115" s="40" t="s">
        <v>53</v>
      </c>
      <c r="E115" s="40" t="s">
        <v>39</v>
      </c>
      <c r="F115" s="42"/>
      <c r="G115" s="42"/>
      <c r="H115" s="41">
        <v>88.0</v>
      </c>
      <c r="I115" s="41">
        <v>29.33333</v>
      </c>
    </row>
    <row r="116">
      <c r="A116" s="39">
        <v>109.0</v>
      </c>
      <c r="B116" s="43" t="s">
        <v>79</v>
      </c>
      <c r="C116" s="40" t="s">
        <v>600</v>
      </c>
      <c r="D116" s="40" t="s">
        <v>53</v>
      </c>
      <c r="E116" s="40" t="s">
        <v>39</v>
      </c>
      <c r="F116" s="42"/>
      <c r="G116" s="42"/>
      <c r="H116" s="41">
        <v>87.0</v>
      </c>
      <c r="I116" s="41">
        <v>29.0</v>
      </c>
    </row>
    <row r="117">
      <c r="A117" s="39">
        <v>110.0</v>
      </c>
      <c r="B117" s="43" t="s">
        <v>130</v>
      </c>
      <c r="C117" s="40" t="s">
        <v>601</v>
      </c>
      <c r="D117" s="40" t="s">
        <v>53</v>
      </c>
      <c r="E117" s="40" t="s">
        <v>39</v>
      </c>
      <c r="F117" s="42"/>
      <c r="G117" s="42"/>
      <c r="H117" s="41">
        <v>56.0</v>
      </c>
      <c r="I117" s="41">
        <v>28.0</v>
      </c>
    </row>
    <row r="118">
      <c r="A118" s="39">
        <v>111.0</v>
      </c>
      <c r="B118" s="43" t="s">
        <v>64</v>
      </c>
      <c r="C118" s="40" t="s">
        <v>602</v>
      </c>
      <c r="D118" s="40" t="s">
        <v>53</v>
      </c>
      <c r="E118" s="40" t="s">
        <v>39</v>
      </c>
      <c r="F118" s="42"/>
      <c r="G118" s="42"/>
      <c r="H118" s="41">
        <v>81.0</v>
      </c>
      <c r="I118" s="41">
        <v>27.0</v>
      </c>
    </row>
    <row r="119">
      <c r="A119" s="39">
        <v>112.0</v>
      </c>
      <c r="B119" s="43" t="s">
        <v>37</v>
      </c>
      <c r="C119" s="40" t="s">
        <v>605</v>
      </c>
      <c r="D119" s="40" t="s">
        <v>51</v>
      </c>
      <c r="E119" s="40" t="s">
        <v>606</v>
      </c>
      <c r="F119" s="42"/>
      <c r="G119" s="42"/>
      <c r="H119" s="41">
        <v>81.0</v>
      </c>
      <c r="I119" s="41">
        <v>27.0</v>
      </c>
    </row>
    <row r="120">
      <c r="A120" s="39">
        <v>113.0</v>
      </c>
      <c r="B120" s="43" t="s">
        <v>125</v>
      </c>
      <c r="C120" s="40" t="s">
        <v>607</v>
      </c>
      <c r="D120" s="40" t="s">
        <v>53</v>
      </c>
      <c r="E120" s="40" t="s">
        <v>39</v>
      </c>
      <c r="F120" s="42"/>
      <c r="G120" s="42"/>
      <c r="H120" s="41">
        <v>80.0</v>
      </c>
      <c r="I120" s="41">
        <v>26.66667</v>
      </c>
    </row>
    <row r="121">
      <c r="A121" s="39">
        <v>114.0</v>
      </c>
      <c r="B121" s="43" t="s">
        <v>115</v>
      </c>
      <c r="C121" s="40" t="s">
        <v>608</v>
      </c>
      <c r="D121" s="40" t="s">
        <v>53</v>
      </c>
      <c r="E121" s="40" t="s">
        <v>52</v>
      </c>
      <c r="F121" s="42"/>
      <c r="G121" s="42"/>
      <c r="H121" s="41">
        <v>78.0</v>
      </c>
      <c r="I121" s="41">
        <v>26.0</v>
      </c>
    </row>
    <row r="122">
      <c r="A122" s="39">
        <v>115.0</v>
      </c>
      <c r="B122" s="43" t="s">
        <v>102</v>
      </c>
      <c r="C122" s="40" t="s">
        <v>609</v>
      </c>
      <c r="D122" s="40" t="s">
        <v>53</v>
      </c>
      <c r="E122" s="40" t="s">
        <v>52</v>
      </c>
      <c r="F122" s="42"/>
      <c r="G122" s="42"/>
      <c r="H122" s="41">
        <v>73.0</v>
      </c>
      <c r="I122" s="41">
        <v>24.33333</v>
      </c>
    </row>
    <row r="123">
      <c r="A123" s="39">
        <v>116.0</v>
      </c>
      <c r="B123" s="43" t="s">
        <v>50</v>
      </c>
      <c r="C123" s="40" t="s">
        <v>612</v>
      </c>
      <c r="D123" s="40" t="s">
        <v>53</v>
      </c>
      <c r="E123" s="40" t="s">
        <v>39</v>
      </c>
      <c r="F123" s="42"/>
      <c r="G123" s="42"/>
      <c r="H123" s="41">
        <v>72.0</v>
      </c>
      <c r="I123" s="41">
        <v>24.0</v>
      </c>
    </row>
    <row r="124">
      <c r="A124" s="39">
        <v>117.0</v>
      </c>
      <c r="B124" s="43" t="s">
        <v>108</v>
      </c>
      <c r="C124" s="40" t="s">
        <v>613</v>
      </c>
      <c r="D124" s="40" t="s">
        <v>53</v>
      </c>
      <c r="E124" s="40" t="s">
        <v>52</v>
      </c>
      <c r="F124" s="42"/>
      <c r="G124" s="42"/>
      <c r="H124" s="41">
        <v>72.0</v>
      </c>
      <c r="I124" s="41">
        <v>24.0</v>
      </c>
    </row>
    <row r="125">
      <c r="A125" s="39">
        <v>118.0</v>
      </c>
      <c r="B125" s="43" t="s">
        <v>227</v>
      </c>
      <c r="C125" s="40" t="s">
        <v>614</v>
      </c>
      <c r="D125" s="40" t="s">
        <v>53</v>
      </c>
      <c r="E125" s="40" t="s">
        <v>39</v>
      </c>
      <c r="F125" s="42"/>
      <c r="G125" s="42"/>
      <c r="H125" s="41">
        <v>46.0</v>
      </c>
      <c r="I125" s="41">
        <v>23.0</v>
      </c>
    </row>
    <row r="126">
      <c r="A126" s="39">
        <v>119.0</v>
      </c>
      <c r="B126" s="43" t="s">
        <v>262</v>
      </c>
      <c r="C126" s="40" t="s">
        <v>299</v>
      </c>
      <c r="D126" s="40" t="s">
        <v>53</v>
      </c>
      <c r="E126" s="40" t="s">
        <v>52</v>
      </c>
      <c r="F126" s="42"/>
      <c r="G126" s="41">
        <v>43.0</v>
      </c>
      <c r="H126" s="42"/>
      <c r="I126" s="41">
        <v>21.5</v>
      </c>
    </row>
    <row r="127">
      <c r="A127" s="39">
        <v>120.0</v>
      </c>
      <c r="B127" s="43" t="s">
        <v>184</v>
      </c>
      <c r="C127" s="40" t="s">
        <v>617</v>
      </c>
      <c r="D127" s="40" t="s">
        <v>38</v>
      </c>
      <c r="E127" s="40" t="s">
        <v>606</v>
      </c>
      <c r="F127" s="42"/>
      <c r="G127" s="42"/>
      <c r="H127" s="41">
        <v>64.0</v>
      </c>
      <c r="I127" s="41">
        <v>21.33333</v>
      </c>
    </row>
    <row r="128">
      <c r="A128" s="39">
        <v>121.0</v>
      </c>
      <c r="B128" s="43" t="s">
        <v>288</v>
      </c>
      <c r="C128" s="40" t="s">
        <v>618</v>
      </c>
      <c r="D128" s="40" t="s">
        <v>53</v>
      </c>
      <c r="E128" s="40" t="s">
        <v>39</v>
      </c>
      <c r="F128" s="42"/>
      <c r="G128" s="42"/>
      <c r="H128" s="41">
        <v>62.0</v>
      </c>
      <c r="I128" s="41">
        <v>20.66667</v>
      </c>
    </row>
    <row r="129">
      <c r="A129" s="39">
        <v>122.0</v>
      </c>
      <c r="B129" s="43" t="s">
        <v>71</v>
      </c>
      <c r="C129" s="40" t="s">
        <v>619</v>
      </c>
      <c r="D129" s="40" t="s">
        <v>53</v>
      </c>
      <c r="E129" s="40" t="s">
        <v>39</v>
      </c>
      <c r="F129" s="42"/>
      <c r="G129" s="42"/>
      <c r="H129" s="41">
        <v>62.0</v>
      </c>
      <c r="I129" s="41">
        <v>20.66667</v>
      </c>
    </row>
    <row r="130">
      <c r="A130" s="39">
        <v>123.0</v>
      </c>
      <c r="B130" s="43" t="s">
        <v>170</v>
      </c>
      <c r="C130" s="40" t="s">
        <v>621</v>
      </c>
      <c r="D130" s="40" t="s">
        <v>53</v>
      </c>
      <c r="E130" s="40" t="s">
        <v>39</v>
      </c>
      <c r="F130" s="42"/>
      <c r="G130" s="42"/>
      <c r="H130" s="41">
        <v>41.0</v>
      </c>
      <c r="I130" s="41">
        <v>20.5</v>
      </c>
    </row>
    <row r="131">
      <c r="A131" s="39">
        <v>124.0</v>
      </c>
      <c r="B131" s="43" t="s">
        <v>186</v>
      </c>
      <c r="C131" s="40" t="s">
        <v>623</v>
      </c>
      <c r="D131" s="40" t="s">
        <v>38</v>
      </c>
      <c r="E131" s="40" t="s">
        <v>606</v>
      </c>
      <c r="F131" s="42"/>
      <c r="G131" s="42"/>
      <c r="H131" s="41">
        <v>61.0</v>
      </c>
      <c r="I131" s="41">
        <v>20.33333</v>
      </c>
    </row>
    <row r="132">
      <c r="A132" s="39">
        <v>125.0</v>
      </c>
      <c r="B132" s="43" t="s">
        <v>182</v>
      </c>
      <c r="C132" s="40" t="s">
        <v>624</v>
      </c>
      <c r="D132" s="40" t="s">
        <v>38</v>
      </c>
      <c r="E132" s="40" t="s">
        <v>606</v>
      </c>
      <c r="F132" s="42"/>
      <c r="G132" s="42"/>
      <c r="H132" s="41">
        <v>59.0</v>
      </c>
      <c r="I132" s="41">
        <v>19.66667</v>
      </c>
    </row>
    <row r="133">
      <c r="A133" s="39">
        <v>126.0</v>
      </c>
      <c r="B133" s="43" t="s">
        <v>151</v>
      </c>
      <c r="C133" s="40" t="s">
        <v>625</v>
      </c>
      <c r="D133" s="40" t="s">
        <v>53</v>
      </c>
      <c r="E133" s="40" t="s">
        <v>52</v>
      </c>
      <c r="F133" s="42"/>
      <c r="G133" s="42"/>
      <c r="H133" s="41">
        <v>57.0</v>
      </c>
      <c r="I133" s="41">
        <v>19.0</v>
      </c>
    </row>
    <row r="134">
      <c r="A134" s="39">
        <v>127.0</v>
      </c>
      <c r="B134" s="43" t="s">
        <v>166</v>
      </c>
      <c r="C134" s="40" t="s">
        <v>627</v>
      </c>
      <c r="D134" s="40" t="s">
        <v>53</v>
      </c>
      <c r="E134" s="40" t="s">
        <v>39</v>
      </c>
      <c r="F134" s="42"/>
      <c r="G134" s="42"/>
      <c r="H134" s="41">
        <v>55.0</v>
      </c>
      <c r="I134" s="41">
        <v>18.33333</v>
      </c>
    </row>
    <row r="135">
      <c r="A135" s="39">
        <v>128.0</v>
      </c>
      <c r="B135" s="43" t="s">
        <v>629</v>
      </c>
      <c r="C135" s="40" t="s">
        <v>280</v>
      </c>
      <c r="D135" s="40" t="s">
        <v>53</v>
      </c>
      <c r="E135" s="40" t="s">
        <v>52</v>
      </c>
      <c r="F135" s="41">
        <v>54.6</v>
      </c>
      <c r="G135" s="42"/>
      <c r="H135" s="42"/>
      <c r="I135" s="41">
        <v>18.2</v>
      </c>
    </row>
    <row r="136">
      <c r="A136" s="39">
        <v>129.0</v>
      </c>
      <c r="B136" s="43" t="s">
        <v>179</v>
      </c>
      <c r="C136" s="40" t="s">
        <v>630</v>
      </c>
      <c r="D136" s="40" t="s">
        <v>53</v>
      </c>
      <c r="E136" s="40" t="s">
        <v>52</v>
      </c>
      <c r="F136" s="42"/>
      <c r="G136" s="42"/>
      <c r="H136" s="41">
        <v>23.0</v>
      </c>
      <c r="I136" s="41">
        <v>7.666667</v>
      </c>
    </row>
    <row r="137">
      <c r="A137" s="39">
        <v>130.0</v>
      </c>
      <c r="B137" s="43" t="s">
        <v>238</v>
      </c>
      <c r="C137" s="40" t="s">
        <v>631</v>
      </c>
      <c r="D137" s="40" t="s">
        <v>53</v>
      </c>
      <c r="E137" s="40" t="s">
        <v>52</v>
      </c>
      <c r="F137" s="42"/>
      <c r="G137" s="42"/>
      <c r="H137" s="41">
        <v>19.0</v>
      </c>
      <c r="I137" s="41">
        <v>6.333333</v>
      </c>
    </row>
    <row r="138">
      <c r="A138" s="39">
        <v>131.0</v>
      </c>
      <c r="B138" s="43" t="s">
        <v>632</v>
      </c>
      <c r="C138" s="40" t="s">
        <v>633</v>
      </c>
      <c r="D138" s="40" t="s">
        <v>51</v>
      </c>
      <c r="E138" s="40" t="s">
        <v>39</v>
      </c>
      <c r="F138" s="42"/>
      <c r="G138" s="42"/>
      <c r="H138" s="41">
        <v>18.0</v>
      </c>
      <c r="I138" s="41">
        <v>6.0</v>
      </c>
    </row>
    <row r="139">
      <c r="A139" s="39">
        <v>132.0</v>
      </c>
      <c r="B139" s="43" t="s">
        <v>416</v>
      </c>
      <c r="C139" s="40" t="s">
        <v>636</v>
      </c>
      <c r="D139" s="40" t="s">
        <v>51</v>
      </c>
      <c r="E139" s="40" t="s">
        <v>39</v>
      </c>
      <c r="F139" s="42"/>
      <c r="G139" s="42"/>
      <c r="H139" s="41">
        <v>13.0</v>
      </c>
      <c r="I139" s="41">
        <v>4.333333</v>
      </c>
    </row>
    <row r="140">
      <c r="A140" s="39">
        <v>133.0</v>
      </c>
      <c r="B140" s="43" t="s">
        <v>594</v>
      </c>
      <c r="C140" s="40" t="s">
        <v>595</v>
      </c>
      <c r="D140" s="40" t="s">
        <v>53</v>
      </c>
      <c r="E140" s="40" t="s">
        <v>39</v>
      </c>
      <c r="F140" s="42"/>
      <c r="G140" s="42"/>
      <c r="H140" s="41">
        <v>12.0</v>
      </c>
      <c r="I140" s="41">
        <v>4.0</v>
      </c>
    </row>
    <row r="141">
      <c r="A141" s="66"/>
      <c r="B141" s="66"/>
      <c r="C141" s="66"/>
      <c r="D141" s="66"/>
      <c r="E141" s="66"/>
      <c r="F141" s="66"/>
      <c r="G141" s="66"/>
      <c r="H141" s="66"/>
      <c r="I141" s="66"/>
    </row>
    <row r="142">
      <c r="A142" s="66"/>
      <c r="B142" s="66"/>
      <c r="C142" s="66"/>
      <c r="D142" s="66"/>
      <c r="E142" s="66"/>
      <c r="F142" s="66"/>
      <c r="G142" s="66"/>
      <c r="H142" s="66"/>
      <c r="I142" s="66"/>
    </row>
    <row r="143">
      <c r="A143" s="66"/>
      <c r="B143" s="66"/>
      <c r="C143" s="66"/>
      <c r="D143" s="66"/>
      <c r="E143" s="66"/>
      <c r="F143" s="66"/>
      <c r="G143" s="66"/>
      <c r="H143" s="66"/>
      <c r="I143" s="66"/>
    </row>
    <row r="144">
      <c r="A144" s="66"/>
      <c r="B144" s="66"/>
      <c r="C144" s="66"/>
      <c r="D144" s="66"/>
      <c r="E144" s="66"/>
      <c r="F144" s="66"/>
      <c r="G144" s="66"/>
      <c r="H144" s="66"/>
      <c r="I144" s="66"/>
    </row>
    <row r="145">
      <c r="A145" s="66"/>
      <c r="B145" s="66"/>
      <c r="C145" s="66"/>
      <c r="D145" s="66"/>
      <c r="E145" s="66"/>
      <c r="F145" s="66"/>
      <c r="G145" s="66"/>
      <c r="H145" s="66"/>
      <c r="I145" s="66"/>
    </row>
    <row r="146">
      <c r="A146" s="66"/>
      <c r="B146" s="66"/>
      <c r="C146" s="66"/>
      <c r="D146" s="66"/>
      <c r="E146" s="66"/>
      <c r="F146" s="66"/>
      <c r="G146" s="66"/>
      <c r="H146" s="66"/>
      <c r="I146" s="66"/>
    </row>
    <row r="147">
      <c r="A147" s="66"/>
      <c r="B147" s="66"/>
      <c r="C147" s="66"/>
      <c r="D147" s="66"/>
      <c r="E147" s="66"/>
      <c r="F147" s="66"/>
      <c r="G147" s="66"/>
      <c r="H147" s="66"/>
      <c r="I147" s="66"/>
    </row>
    <row r="148">
      <c r="A148" s="66"/>
      <c r="B148" s="66"/>
      <c r="C148" s="66"/>
      <c r="D148" s="66"/>
      <c r="E148" s="66"/>
      <c r="F148" s="66"/>
      <c r="G148" s="66"/>
      <c r="H148" s="66"/>
      <c r="I148" s="66"/>
    </row>
    <row r="149">
      <c r="A149" s="66"/>
      <c r="B149" s="66"/>
      <c r="C149" s="66"/>
      <c r="D149" s="66"/>
      <c r="E149" s="66"/>
      <c r="F149" s="66"/>
      <c r="G149" s="66"/>
      <c r="H149" s="66"/>
      <c r="I149" s="66"/>
    </row>
    <row r="150">
      <c r="A150" s="66"/>
      <c r="B150" s="66"/>
      <c r="C150" s="66"/>
      <c r="D150" s="66"/>
      <c r="E150" s="66"/>
      <c r="F150" s="66"/>
      <c r="G150" s="66"/>
      <c r="H150" s="66"/>
      <c r="I150" s="66"/>
    </row>
    <row r="151">
      <c r="A151" s="66"/>
      <c r="B151" s="66"/>
      <c r="C151" s="66"/>
      <c r="D151" s="66"/>
      <c r="E151" s="66"/>
      <c r="F151" s="66"/>
      <c r="G151" s="66"/>
      <c r="H151" s="66"/>
      <c r="I151" s="66"/>
    </row>
    <row r="152">
      <c r="A152" s="66"/>
      <c r="B152" s="66"/>
      <c r="C152" s="66"/>
      <c r="D152" s="66"/>
      <c r="E152" s="66"/>
      <c r="F152" s="66"/>
      <c r="G152" s="66"/>
      <c r="H152" s="66"/>
      <c r="I152" s="66"/>
    </row>
    <row r="153">
      <c r="A153" s="66"/>
      <c r="B153" s="66"/>
      <c r="C153" s="66"/>
      <c r="D153" s="66"/>
      <c r="E153" s="66"/>
      <c r="F153" s="66"/>
      <c r="G153" s="66"/>
      <c r="H153" s="66"/>
      <c r="I153" s="66"/>
    </row>
    <row r="154">
      <c r="A154" s="66"/>
      <c r="B154" s="66"/>
      <c r="C154" s="66"/>
      <c r="D154" s="66"/>
      <c r="E154" s="66"/>
      <c r="F154" s="66"/>
      <c r="G154" s="66"/>
      <c r="H154" s="66"/>
      <c r="I154" s="66"/>
    </row>
    <row r="155">
      <c r="A155" s="66"/>
      <c r="B155" s="66"/>
      <c r="C155" s="66"/>
      <c r="D155" s="66"/>
      <c r="E155" s="66"/>
      <c r="F155" s="66"/>
      <c r="G155" s="66"/>
      <c r="H155" s="66"/>
      <c r="I155" s="66"/>
    </row>
    <row r="156">
      <c r="A156" s="66"/>
      <c r="B156" s="66"/>
      <c r="C156" s="66"/>
      <c r="D156" s="66"/>
      <c r="E156" s="66"/>
      <c r="F156" s="66"/>
      <c r="G156" s="66"/>
      <c r="H156" s="66"/>
      <c r="I156" s="66"/>
    </row>
  </sheetData>
  <autoFilter ref="$B$7:$I$140"/>
  <hyperlinks>
    <hyperlink r:id="rId1" ref="C2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13"/>
    <col customWidth="1" min="3" max="3" width="36.38"/>
    <col customWidth="1" min="6" max="6" width="16.5"/>
  </cols>
  <sheetData>
    <row r="2">
      <c r="B2" s="20" t="s">
        <v>1</v>
      </c>
      <c r="C2" s="20" t="s">
        <v>5</v>
      </c>
      <c r="D2" s="20" t="s">
        <v>8</v>
      </c>
      <c r="E2" s="20" t="s">
        <v>12</v>
      </c>
      <c r="F2" s="20" t="s">
        <v>33</v>
      </c>
    </row>
    <row r="3">
      <c r="A3" s="11">
        <v>1.0</v>
      </c>
      <c r="B3" s="20" t="s">
        <v>136</v>
      </c>
      <c r="C3" s="20" t="s">
        <v>482</v>
      </c>
      <c r="D3" s="20" t="s">
        <v>38</v>
      </c>
      <c r="E3" s="20" t="s">
        <v>59</v>
      </c>
      <c r="F3" s="20">
        <v>81.93333333</v>
      </c>
    </row>
    <row r="4">
      <c r="A4" s="11">
        <v>2.0</v>
      </c>
      <c r="B4" s="20" t="s">
        <v>85</v>
      </c>
      <c r="C4" s="20" t="s">
        <v>483</v>
      </c>
      <c r="D4" s="20" t="s">
        <v>38</v>
      </c>
      <c r="E4" s="20" t="s">
        <v>39</v>
      </c>
      <c r="F4" s="20">
        <v>81.0</v>
      </c>
    </row>
    <row r="5">
      <c r="A5" s="11">
        <v>3.0</v>
      </c>
      <c r="B5" s="20" t="s">
        <v>245</v>
      </c>
      <c r="C5" s="20" t="s">
        <v>484</v>
      </c>
      <c r="D5" s="20" t="s">
        <v>88</v>
      </c>
      <c r="E5" s="20" t="s">
        <v>52</v>
      </c>
      <c r="F5" s="20">
        <v>79.86666667</v>
      </c>
    </row>
    <row r="6">
      <c r="A6" s="11">
        <v>4.0</v>
      </c>
      <c r="B6" s="20" t="s">
        <v>190</v>
      </c>
      <c r="C6" s="20" t="s">
        <v>486</v>
      </c>
      <c r="D6" s="20" t="s">
        <v>53</v>
      </c>
      <c r="E6" s="20" t="s">
        <v>52</v>
      </c>
      <c r="F6" s="20">
        <v>78.86666667</v>
      </c>
    </row>
    <row r="7">
      <c r="A7" s="11">
        <v>5.0</v>
      </c>
      <c r="B7" s="20" t="s">
        <v>133</v>
      </c>
      <c r="C7" s="20" t="s">
        <v>208</v>
      </c>
      <c r="D7" s="20" t="s">
        <v>38</v>
      </c>
      <c r="E7" s="20" t="s">
        <v>59</v>
      </c>
      <c r="F7" s="20">
        <v>78.8</v>
      </c>
    </row>
    <row r="8">
      <c r="A8" s="11">
        <v>6.0</v>
      </c>
      <c r="B8" s="20" t="s">
        <v>126</v>
      </c>
      <c r="C8" s="20" t="s">
        <v>488</v>
      </c>
      <c r="D8" s="20" t="s">
        <v>38</v>
      </c>
      <c r="E8" s="20" t="s">
        <v>52</v>
      </c>
      <c r="F8" s="20">
        <v>78.26666667</v>
      </c>
    </row>
    <row r="9">
      <c r="A9" s="11">
        <v>7.0</v>
      </c>
      <c r="B9" s="20" t="s">
        <v>126</v>
      </c>
      <c r="C9" s="20" t="s">
        <v>488</v>
      </c>
      <c r="D9" s="20" t="s">
        <v>38</v>
      </c>
      <c r="E9" s="20" t="s">
        <v>52</v>
      </c>
      <c r="F9" s="20">
        <v>78.26666667</v>
      </c>
    </row>
    <row r="10">
      <c r="A10" s="11">
        <v>8.0</v>
      </c>
      <c r="B10" s="20" t="s">
        <v>169</v>
      </c>
      <c r="C10" s="20" t="s">
        <v>489</v>
      </c>
      <c r="D10" s="20" t="s">
        <v>38</v>
      </c>
      <c r="E10" s="20" t="s">
        <v>52</v>
      </c>
      <c r="F10" s="20">
        <v>77.4</v>
      </c>
    </row>
    <row r="11">
      <c r="A11" s="11">
        <v>9.0</v>
      </c>
      <c r="B11" s="20" t="s">
        <v>75</v>
      </c>
      <c r="C11" s="20" t="s">
        <v>490</v>
      </c>
      <c r="D11" s="20" t="s">
        <v>51</v>
      </c>
      <c r="E11" s="20" t="s">
        <v>52</v>
      </c>
      <c r="F11" s="20">
        <v>75.66666667</v>
      </c>
    </row>
    <row r="12">
      <c r="A12" s="11">
        <v>10.0</v>
      </c>
      <c r="B12" s="20" t="s">
        <v>48</v>
      </c>
      <c r="C12" s="20" t="s">
        <v>491</v>
      </c>
      <c r="D12" s="20" t="s">
        <v>51</v>
      </c>
      <c r="E12" s="20" t="s">
        <v>39</v>
      </c>
      <c r="F12" s="20">
        <v>75.2</v>
      </c>
    </row>
    <row r="13">
      <c r="A13" s="11">
        <v>11.0</v>
      </c>
      <c r="B13" s="20" t="s">
        <v>196</v>
      </c>
      <c r="C13" s="20" t="s">
        <v>446</v>
      </c>
      <c r="D13" s="20" t="s">
        <v>51</v>
      </c>
      <c r="E13" s="20" t="s">
        <v>52</v>
      </c>
      <c r="F13" s="20">
        <v>74.73333333</v>
      </c>
    </row>
    <row r="14">
      <c r="A14" s="11">
        <v>12.0</v>
      </c>
      <c r="B14" s="20" t="s">
        <v>225</v>
      </c>
      <c r="C14" s="20" t="s">
        <v>493</v>
      </c>
      <c r="D14" s="20" t="s">
        <v>88</v>
      </c>
      <c r="E14" s="20" t="s">
        <v>52</v>
      </c>
      <c r="F14" s="20">
        <v>73.53333333</v>
      </c>
    </row>
    <row r="15">
      <c r="A15" s="11">
        <v>13.0</v>
      </c>
      <c r="B15" s="20" t="s">
        <v>99</v>
      </c>
      <c r="C15" s="20" t="s">
        <v>118</v>
      </c>
      <c r="D15" s="20" t="s">
        <v>38</v>
      </c>
      <c r="E15" s="20" t="s">
        <v>52</v>
      </c>
      <c r="F15" s="20">
        <v>73.0</v>
      </c>
    </row>
    <row r="16">
      <c r="A16" s="11">
        <v>14.0</v>
      </c>
      <c r="B16" s="20" t="s">
        <v>86</v>
      </c>
      <c r="C16" s="20" t="s">
        <v>494</v>
      </c>
      <c r="D16" s="20" t="s">
        <v>88</v>
      </c>
      <c r="E16" s="20" t="s">
        <v>39</v>
      </c>
      <c r="F16" s="20">
        <v>72.8</v>
      </c>
    </row>
    <row r="17">
      <c r="A17" s="11">
        <v>15.0</v>
      </c>
      <c r="B17" s="20" t="s">
        <v>291</v>
      </c>
      <c r="C17" s="20" t="s">
        <v>290</v>
      </c>
      <c r="D17" s="20" t="s">
        <v>53</v>
      </c>
      <c r="E17" s="20" t="s">
        <v>52</v>
      </c>
      <c r="F17" s="20">
        <v>72.2</v>
      </c>
    </row>
    <row r="18">
      <c r="A18" s="11">
        <v>16.0</v>
      </c>
      <c r="B18" s="20" t="s">
        <v>41</v>
      </c>
      <c r="C18" s="20" t="s">
        <v>411</v>
      </c>
      <c r="D18" s="20" t="s">
        <v>38</v>
      </c>
      <c r="E18" s="20" t="s">
        <v>39</v>
      </c>
      <c r="F18" s="20">
        <v>72.06666667</v>
      </c>
    </row>
    <row r="19">
      <c r="A19" s="11">
        <v>17.0</v>
      </c>
      <c r="B19" s="20" t="s">
        <v>234</v>
      </c>
      <c r="C19" s="20" t="s">
        <v>496</v>
      </c>
      <c r="D19" s="20" t="s">
        <v>53</v>
      </c>
      <c r="E19" s="20" t="s">
        <v>52</v>
      </c>
      <c r="F19" s="20">
        <v>70.0</v>
      </c>
    </row>
    <row r="20">
      <c r="A20" s="11">
        <v>18.0</v>
      </c>
      <c r="B20" s="20" t="s">
        <v>195</v>
      </c>
      <c r="C20" s="20" t="s">
        <v>498</v>
      </c>
      <c r="D20" s="20" t="s">
        <v>88</v>
      </c>
      <c r="E20" s="20" t="s">
        <v>52</v>
      </c>
      <c r="F20" s="20">
        <v>70.0</v>
      </c>
    </row>
    <row r="21">
      <c r="A21" s="11">
        <v>19.0</v>
      </c>
      <c r="B21" s="20" t="s">
        <v>200</v>
      </c>
      <c r="C21" s="20" t="s">
        <v>470</v>
      </c>
      <c r="D21" s="20" t="s">
        <v>38</v>
      </c>
      <c r="E21" s="20" t="s">
        <v>52</v>
      </c>
      <c r="F21" s="20">
        <v>69.66666667</v>
      </c>
    </row>
    <row r="22">
      <c r="A22" s="11">
        <v>20.0</v>
      </c>
      <c r="B22" s="20" t="s">
        <v>140</v>
      </c>
      <c r="C22" s="20" t="s">
        <v>499</v>
      </c>
      <c r="D22" s="20" t="s">
        <v>38</v>
      </c>
      <c r="E22" s="20" t="s">
        <v>59</v>
      </c>
      <c r="F22" s="20">
        <v>69.06666667</v>
      </c>
    </row>
    <row r="23">
      <c r="A23" s="11">
        <v>21.0</v>
      </c>
      <c r="B23" s="20" t="s">
        <v>202</v>
      </c>
      <c r="C23" s="20" t="s">
        <v>500</v>
      </c>
      <c r="D23" s="20" t="s">
        <v>60</v>
      </c>
      <c r="E23" s="20" t="s">
        <v>203</v>
      </c>
      <c r="F23" s="20">
        <v>67.6</v>
      </c>
    </row>
    <row r="24">
      <c r="A24" s="11">
        <v>22.0</v>
      </c>
      <c r="B24" s="20" t="s">
        <v>228</v>
      </c>
      <c r="C24" s="20" t="s">
        <v>501</v>
      </c>
      <c r="D24" s="20" t="s">
        <v>53</v>
      </c>
      <c r="E24" s="20" t="s">
        <v>52</v>
      </c>
      <c r="F24" s="20">
        <v>66.86666667</v>
      </c>
    </row>
    <row r="25">
      <c r="A25" s="11">
        <v>23.0</v>
      </c>
      <c r="B25" s="20" t="s">
        <v>132</v>
      </c>
      <c r="C25" s="20" t="s">
        <v>502</v>
      </c>
      <c r="D25" s="20" t="s">
        <v>38</v>
      </c>
      <c r="E25" s="20" t="s">
        <v>52</v>
      </c>
      <c r="F25" s="20">
        <v>66.66666667</v>
      </c>
    </row>
    <row r="26">
      <c r="A26" s="11">
        <v>24.0</v>
      </c>
      <c r="B26" s="20" t="s">
        <v>205</v>
      </c>
      <c r="C26" s="20" t="s">
        <v>503</v>
      </c>
      <c r="D26" s="20" t="s">
        <v>38</v>
      </c>
      <c r="E26" s="20" t="s">
        <v>52</v>
      </c>
      <c r="F26" s="20">
        <v>65.73333333</v>
      </c>
    </row>
    <row r="27">
      <c r="A27" s="11">
        <v>25.0</v>
      </c>
      <c r="B27" s="20" t="s">
        <v>209</v>
      </c>
      <c r="C27" s="20" t="s">
        <v>504</v>
      </c>
      <c r="D27" s="20" t="s">
        <v>53</v>
      </c>
      <c r="E27" s="20" t="s">
        <v>59</v>
      </c>
      <c r="F27" s="20">
        <v>65.46666667</v>
      </c>
    </row>
    <row r="28">
      <c r="A28" s="11">
        <v>26.0</v>
      </c>
      <c r="B28" s="20" t="s">
        <v>243</v>
      </c>
      <c r="C28" s="20" t="s">
        <v>267</v>
      </c>
      <c r="D28" s="20" t="s">
        <v>53</v>
      </c>
      <c r="E28" s="20" t="s">
        <v>52</v>
      </c>
      <c r="F28" s="20">
        <v>65.46666667</v>
      </c>
    </row>
    <row r="29">
      <c r="A29" s="11">
        <v>27.0</v>
      </c>
      <c r="B29" s="20" t="s">
        <v>87</v>
      </c>
      <c r="C29" s="20" t="s">
        <v>505</v>
      </c>
      <c r="D29" s="20" t="s">
        <v>38</v>
      </c>
      <c r="E29" s="20" t="s">
        <v>52</v>
      </c>
      <c r="F29" s="20">
        <v>64.4</v>
      </c>
    </row>
    <row r="30">
      <c r="A30" s="11">
        <v>28.0</v>
      </c>
      <c r="B30" s="20" t="s">
        <v>206</v>
      </c>
      <c r="C30" s="20" t="s">
        <v>506</v>
      </c>
      <c r="D30" s="20" t="s">
        <v>38</v>
      </c>
      <c r="E30" s="20" t="s">
        <v>52</v>
      </c>
      <c r="F30" s="20">
        <v>63.86666667</v>
      </c>
    </row>
    <row r="31">
      <c r="A31" s="11">
        <v>29.0</v>
      </c>
      <c r="B31" s="20" t="s">
        <v>145</v>
      </c>
      <c r="C31" s="20" t="s">
        <v>507</v>
      </c>
      <c r="D31" s="20" t="s">
        <v>51</v>
      </c>
      <c r="E31" s="20" t="s">
        <v>52</v>
      </c>
      <c r="F31" s="20">
        <v>63.33333333</v>
      </c>
    </row>
    <row r="32">
      <c r="A32" s="11">
        <v>30.0</v>
      </c>
      <c r="B32" s="20" t="s">
        <v>124</v>
      </c>
      <c r="C32" s="20" t="s">
        <v>480</v>
      </c>
      <c r="D32" s="20" t="s">
        <v>53</v>
      </c>
      <c r="E32" s="20" t="s">
        <v>39</v>
      </c>
      <c r="F32" s="20">
        <v>63.0</v>
      </c>
    </row>
    <row r="33">
      <c r="A33" s="11">
        <v>31.0</v>
      </c>
      <c r="B33" s="20" t="s">
        <v>174</v>
      </c>
      <c r="C33" s="20" t="s">
        <v>479</v>
      </c>
      <c r="D33" s="20" t="s">
        <v>38</v>
      </c>
      <c r="E33" s="20" t="s">
        <v>39</v>
      </c>
      <c r="F33" s="20">
        <v>62.86666667</v>
      </c>
    </row>
    <row r="34">
      <c r="A34" s="11">
        <v>32.0</v>
      </c>
      <c r="B34" s="20" t="s">
        <v>100</v>
      </c>
      <c r="C34" s="20" t="s">
        <v>215</v>
      </c>
      <c r="D34" s="20" t="s">
        <v>38</v>
      </c>
      <c r="E34" s="20" t="s">
        <v>52</v>
      </c>
      <c r="F34" s="20">
        <v>61.93333333</v>
      </c>
    </row>
    <row r="35">
      <c r="A35" s="11">
        <v>33.0</v>
      </c>
      <c r="B35" s="20" t="s">
        <v>112</v>
      </c>
      <c r="C35" s="20" t="s">
        <v>275</v>
      </c>
      <c r="D35" s="20" t="s">
        <v>53</v>
      </c>
      <c r="E35" s="20" t="s">
        <v>52</v>
      </c>
      <c r="F35" s="20">
        <v>61.46666667</v>
      </c>
    </row>
    <row r="36">
      <c r="A36" s="11">
        <v>34.0</v>
      </c>
      <c r="B36" s="20" t="s">
        <v>36</v>
      </c>
      <c r="C36" s="20" t="s">
        <v>450</v>
      </c>
      <c r="D36" s="20" t="s">
        <v>38</v>
      </c>
      <c r="E36" s="20" t="s">
        <v>39</v>
      </c>
      <c r="F36" s="20">
        <v>59.8</v>
      </c>
    </row>
    <row r="37">
      <c r="B37" s="44" t="s">
        <v>1</v>
      </c>
      <c r="C37" s="44" t="s">
        <v>5</v>
      </c>
      <c r="D37" s="44" t="s">
        <v>8</v>
      </c>
      <c r="E37" s="44" t="s">
        <v>12</v>
      </c>
      <c r="F37" s="45" t="s">
        <v>35</v>
      </c>
    </row>
    <row r="38" ht="15.75" customHeight="1">
      <c r="A38" s="11">
        <v>1.0</v>
      </c>
      <c r="B38" s="40" t="s">
        <v>45</v>
      </c>
      <c r="C38" s="40" t="s">
        <v>296</v>
      </c>
      <c r="D38" s="40" t="s">
        <v>38</v>
      </c>
      <c r="E38" s="40" t="s">
        <v>52</v>
      </c>
      <c r="F38" s="46">
        <v>81.0</v>
      </c>
    </row>
    <row r="39">
      <c r="A39" s="11">
        <v>2.0</v>
      </c>
      <c r="B39" s="40" t="s">
        <v>136</v>
      </c>
      <c r="C39" s="40" t="s">
        <v>482</v>
      </c>
      <c r="D39" s="40" t="s">
        <v>38</v>
      </c>
      <c r="E39" s="40" t="s">
        <v>59</v>
      </c>
      <c r="F39" s="46">
        <v>81.0</v>
      </c>
    </row>
    <row r="40">
      <c r="A40" s="11">
        <v>3.0</v>
      </c>
      <c r="B40" s="40" t="s">
        <v>190</v>
      </c>
      <c r="C40" s="40" t="s">
        <v>486</v>
      </c>
      <c r="D40" s="40" t="s">
        <v>53</v>
      </c>
      <c r="E40" s="40" t="s">
        <v>52</v>
      </c>
      <c r="F40" s="46">
        <v>78.4</v>
      </c>
    </row>
    <row r="41">
      <c r="A41" s="11">
        <v>4.0</v>
      </c>
      <c r="B41" s="40" t="s">
        <v>228</v>
      </c>
      <c r="C41" s="40" t="s">
        <v>501</v>
      </c>
      <c r="D41" s="40" t="s">
        <v>53</v>
      </c>
      <c r="E41" s="40" t="s">
        <v>52</v>
      </c>
      <c r="F41" s="46">
        <v>78.0</v>
      </c>
    </row>
    <row r="42">
      <c r="A42" s="11">
        <v>5.0</v>
      </c>
      <c r="B42" s="40" t="s">
        <v>169</v>
      </c>
      <c r="C42" s="47" t="s">
        <v>510</v>
      </c>
      <c r="D42" s="40" t="s">
        <v>38</v>
      </c>
      <c r="E42" s="40" t="s">
        <v>52</v>
      </c>
      <c r="F42" s="46">
        <v>77.8</v>
      </c>
    </row>
    <row r="43">
      <c r="A43" s="11">
        <v>6.0</v>
      </c>
      <c r="B43" s="40" t="s">
        <v>139</v>
      </c>
      <c r="C43" s="40" t="s">
        <v>513</v>
      </c>
      <c r="D43" s="40" t="s">
        <v>53</v>
      </c>
      <c r="E43" s="40" t="s">
        <v>52</v>
      </c>
      <c r="F43" s="46">
        <v>77.8</v>
      </c>
    </row>
    <row r="44">
      <c r="A44" s="11">
        <v>7.0</v>
      </c>
      <c r="B44" s="40" t="s">
        <v>246</v>
      </c>
      <c r="C44" s="40" t="s">
        <v>374</v>
      </c>
      <c r="D44" s="40" t="s">
        <v>53</v>
      </c>
      <c r="E44" s="40" t="s">
        <v>59</v>
      </c>
      <c r="F44" s="46">
        <v>76.5</v>
      </c>
    </row>
    <row r="45">
      <c r="A45" s="11">
        <v>8.0</v>
      </c>
      <c r="B45" s="40" t="s">
        <v>225</v>
      </c>
      <c r="C45" s="40" t="s">
        <v>493</v>
      </c>
      <c r="D45" s="40" t="s">
        <v>88</v>
      </c>
      <c r="E45" s="40" t="s">
        <v>52</v>
      </c>
      <c r="F45" s="46">
        <v>75.8</v>
      </c>
    </row>
    <row r="46">
      <c r="A46" s="11">
        <v>9.0</v>
      </c>
      <c r="B46" s="40" t="s">
        <v>126</v>
      </c>
      <c r="C46" s="40" t="s">
        <v>488</v>
      </c>
      <c r="D46" s="40" t="s">
        <v>38</v>
      </c>
      <c r="E46" s="40" t="s">
        <v>52</v>
      </c>
      <c r="F46" s="46">
        <v>75.3</v>
      </c>
    </row>
    <row r="47">
      <c r="A47" s="11">
        <v>10.0</v>
      </c>
      <c r="B47" s="40" t="s">
        <v>126</v>
      </c>
      <c r="C47" s="40" t="s">
        <v>488</v>
      </c>
      <c r="D47" s="40" t="s">
        <v>38</v>
      </c>
      <c r="E47" s="40" t="s">
        <v>52</v>
      </c>
      <c r="F47" s="46">
        <v>75.3</v>
      </c>
    </row>
    <row r="48">
      <c r="A48" s="11">
        <v>11.0</v>
      </c>
      <c r="B48" s="40" t="s">
        <v>245</v>
      </c>
      <c r="C48" s="40" t="s">
        <v>484</v>
      </c>
      <c r="D48" s="40" t="s">
        <v>88</v>
      </c>
      <c r="E48" s="40" t="s">
        <v>52</v>
      </c>
      <c r="F48" s="46">
        <v>75.2</v>
      </c>
    </row>
    <row r="49">
      <c r="A49" s="11">
        <v>12.0</v>
      </c>
      <c r="B49" s="40" t="s">
        <v>75</v>
      </c>
      <c r="C49" s="40" t="s">
        <v>490</v>
      </c>
      <c r="D49" s="40" t="s">
        <v>51</v>
      </c>
      <c r="E49" s="40" t="s">
        <v>52</v>
      </c>
      <c r="F49" s="46">
        <v>74.9</v>
      </c>
    </row>
    <row r="50">
      <c r="A50" s="11">
        <v>13.0</v>
      </c>
      <c r="B50" s="40" t="s">
        <v>85</v>
      </c>
      <c r="C50" s="40" t="s">
        <v>483</v>
      </c>
      <c r="D50" s="40" t="s">
        <v>38</v>
      </c>
      <c r="E50" s="40" t="s">
        <v>39</v>
      </c>
      <c r="F50" s="46">
        <v>74.0</v>
      </c>
    </row>
    <row r="51">
      <c r="A51" s="11">
        <v>14.0</v>
      </c>
      <c r="B51" s="40" t="s">
        <v>133</v>
      </c>
      <c r="C51" s="40" t="s">
        <v>208</v>
      </c>
      <c r="D51" s="40" t="s">
        <v>38</v>
      </c>
      <c r="E51" s="40" t="s">
        <v>59</v>
      </c>
      <c r="F51" s="46">
        <v>73.5</v>
      </c>
    </row>
    <row r="52">
      <c r="A52" s="11">
        <v>15.0</v>
      </c>
      <c r="B52" s="40" t="s">
        <v>132</v>
      </c>
      <c r="C52" s="40" t="s">
        <v>502</v>
      </c>
      <c r="D52" s="40" t="s">
        <v>38</v>
      </c>
      <c r="E52" s="40" t="s">
        <v>52</v>
      </c>
      <c r="F52" s="46">
        <v>73.3</v>
      </c>
    </row>
    <row r="53">
      <c r="A53" s="11">
        <v>16.0</v>
      </c>
      <c r="B53" s="40" t="s">
        <v>291</v>
      </c>
      <c r="C53" s="40" t="s">
        <v>290</v>
      </c>
      <c r="D53" s="40" t="s">
        <v>53</v>
      </c>
      <c r="E53" s="40" t="s">
        <v>52</v>
      </c>
      <c r="F53" s="46">
        <v>70.3</v>
      </c>
    </row>
    <row r="54">
      <c r="A54" s="11">
        <v>17.0</v>
      </c>
      <c r="B54" s="40" t="s">
        <v>209</v>
      </c>
      <c r="C54" s="40" t="s">
        <v>504</v>
      </c>
      <c r="D54" s="40" t="s">
        <v>53</v>
      </c>
      <c r="E54" s="40" t="s">
        <v>59</v>
      </c>
      <c r="F54" s="46">
        <v>70.0</v>
      </c>
    </row>
    <row r="55">
      <c r="A55" s="11">
        <v>18.0</v>
      </c>
      <c r="B55" s="43" t="s">
        <v>196</v>
      </c>
      <c r="C55" s="40" t="s">
        <v>446</v>
      </c>
      <c r="D55" s="40" t="s">
        <v>51</v>
      </c>
      <c r="E55" s="40" t="s">
        <v>52</v>
      </c>
      <c r="F55" s="46">
        <v>69.7</v>
      </c>
    </row>
    <row r="56">
      <c r="A56" s="11">
        <v>19.0</v>
      </c>
      <c r="B56" s="43" t="s">
        <v>99</v>
      </c>
      <c r="C56" s="40" t="s">
        <v>118</v>
      </c>
      <c r="D56" s="40" t="s">
        <v>38</v>
      </c>
      <c r="E56" s="40" t="s">
        <v>52</v>
      </c>
      <c r="F56" s="46">
        <v>69.5</v>
      </c>
    </row>
    <row r="57">
      <c r="A57" s="11">
        <v>20.0</v>
      </c>
      <c r="B57" s="43" t="s">
        <v>234</v>
      </c>
      <c r="C57" s="40" t="s">
        <v>496</v>
      </c>
      <c r="D57" s="40" t="s">
        <v>53</v>
      </c>
      <c r="E57" s="40" t="s">
        <v>52</v>
      </c>
      <c r="F57" s="46">
        <v>69.5</v>
      </c>
    </row>
    <row r="58">
      <c r="A58" s="11">
        <v>21.0</v>
      </c>
      <c r="B58" s="43" t="s">
        <v>251</v>
      </c>
      <c r="C58" s="40" t="s">
        <v>518</v>
      </c>
      <c r="D58" s="40" t="s">
        <v>53</v>
      </c>
      <c r="E58" s="40" t="s">
        <v>52</v>
      </c>
      <c r="F58" s="46">
        <v>69.5</v>
      </c>
    </row>
    <row r="59">
      <c r="A59" s="11">
        <v>22.0</v>
      </c>
      <c r="B59" s="43" t="s">
        <v>200</v>
      </c>
      <c r="C59" s="40" t="s">
        <v>470</v>
      </c>
      <c r="D59" s="40" t="s">
        <v>38</v>
      </c>
      <c r="E59" s="40" t="s">
        <v>52</v>
      </c>
      <c r="F59" s="46">
        <v>69.0</v>
      </c>
    </row>
    <row r="60">
      <c r="A60" s="11">
        <v>23.0</v>
      </c>
      <c r="B60" s="43" t="s">
        <v>148</v>
      </c>
      <c r="C60" s="40" t="s">
        <v>519</v>
      </c>
      <c r="D60" s="40" t="s">
        <v>38</v>
      </c>
      <c r="E60" s="40" t="s">
        <v>52</v>
      </c>
      <c r="F60" s="46">
        <v>69.0</v>
      </c>
    </row>
    <row r="61">
      <c r="A61" s="11">
        <v>24.0</v>
      </c>
      <c r="B61" s="43" t="s">
        <v>41</v>
      </c>
      <c r="C61" s="40" t="s">
        <v>411</v>
      </c>
      <c r="D61" s="40" t="s">
        <v>38</v>
      </c>
      <c r="E61" s="40" t="s">
        <v>39</v>
      </c>
      <c r="F61" s="46">
        <v>67.9</v>
      </c>
    </row>
    <row r="62">
      <c r="A62" s="11">
        <v>25.0</v>
      </c>
      <c r="B62" s="43" t="s">
        <v>188</v>
      </c>
      <c r="C62" s="40" t="s">
        <v>497</v>
      </c>
      <c r="D62" s="40" t="s">
        <v>88</v>
      </c>
      <c r="E62" s="40" t="s">
        <v>52</v>
      </c>
      <c r="F62" s="46">
        <v>67.6</v>
      </c>
    </row>
    <row r="63">
      <c r="A63" s="11">
        <v>26.0</v>
      </c>
      <c r="B63" s="43" t="s">
        <v>77</v>
      </c>
      <c r="C63" s="40" t="s">
        <v>520</v>
      </c>
      <c r="D63" s="40" t="s">
        <v>38</v>
      </c>
      <c r="E63" s="40" t="s">
        <v>39</v>
      </c>
      <c r="F63" s="46">
        <v>67.5</v>
      </c>
    </row>
    <row r="64">
      <c r="A64" s="11">
        <v>27.0</v>
      </c>
      <c r="B64" s="43" t="s">
        <v>145</v>
      </c>
      <c r="C64" s="40" t="s">
        <v>507</v>
      </c>
      <c r="D64" s="40" t="s">
        <v>51</v>
      </c>
      <c r="E64" s="40" t="s">
        <v>52</v>
      </c>
      <c r="F64" s="46">
        <v>66.2</v>
      </c>
    </row>
    <row r="65">
      <c r="A65" s="11">
        <v>28.0</v>
      </c>
      <c r="B65" s="43" t="s">
        <v>253</v>
      </c>
      <c r="C65" s="40" t="s">
        <v>295</v>
      </c>
      <c r="D65" s="40" t="s">
        <v>53</v>
      </c>
      <c r="E65" s="40" t="s">
        <v>52</v>
      </c>
      <c r="F65" s="46">
        <v>65.8</v>
      </c>
    </row>
    <row r="66">
      <c r="A66" s="11">
        <v>29.0</v>
      </c>
      <c r="B66" s="43" t="s">
        <v>87</v>
      </c>
      <c r="C66" s="40" t="s">
        <v>505</v>
      </c>
      <c r="D66" s="40" t="s">
        <v>38</v>
      </c>
      <c r="E66" s="40" t="s">
        <v>52</v>
      </c>
      <c r="F66" s="46">
        <v>65.5</v>
      </c>
    </row>
    <row r="67">
      <c r="A67" s="11">
        <v>30.0</v>
      </c>
      <c r="B67" s="43" t="s">
        <v>100</v>
      </c>
      <c r="C67" s="40" t="s">
        <v>215</v>
      </c>
      <c r="D67" s="40" t="s">
        <v>38</v>
      </c>
      <c r="E67" s="40" t="s">
        <v>52</v>
      </c>
      <c r="F67" s="46">
        <v>65.3</v>
      </c>
    </row>
    <row r="68">
      <c r="A68" s="11">
        <v>31.0</v>
      </c>
      <c r="B68" s="43" t="s">
        <v>213</v>
      </c>
      <c r="C68" s="40" t="s">
        <v>453</v>
      </c>
      <c r="D68" s="40" t="s">
        <v>53</v>
      </c>
      <c r="E68" s="40" t="s">
        <v>59</v>
      </c>
      <c r="F68" s="46">
        <v>65.3</v>
      </c>
    </row>
    <row r="69">
      <c r="A69" s="11">
        <v>32.0</v>
      </c>
      <c r="B69" s="43" t="s">
        <v>140</v>
      </c>
      <c r="C69" s="40" t="s">
        <v>499</v>
      </c>
      <c r="D69" s="40" t="s">
        <v>38</v>
      </c>
      <c r="E69" s="40" t="s">
        <v>59</v>
      </c>
      <c r="F69" s="46">
        <v>65.1</v>
      </c>
    </row>
    <row r="70">
      <c r="A70" s="11">
        <v>33.0</v>
      </c>
      <c r="B70" s="43" t="s">
        <v>195</v>
      </c>
      <c r="C70" s="40" t="s">
        <v>498</v>
      </c>
      <c r="D70" s="40" t="s">
        <v>88</v>
      </c>
      <c r="E70" s="40" t="s">
        <v>52</v>
      </c>
      <c r="F70" s="46">
        <v>64.7</v>
      </c>
    </row>
    <row r="71">
      <c r="A71" s="11">
        <v>34.0</v>
      </c>
      <c r="B71" s="43" t="s">
        <v>48</v>
      </c>
      <c r="C71" s="40" t="s">
        <v>491</v>
      </c>
      <c r="D71" s="40" t="s">
        <v>51</v>
      </c>
      <c r="E71" s="40" t="s">
        <v>39</v>
      </c>
      <c r="F71" s="46">
        <v>64.3</v>
      </c>
    </row>
    <row r="72">
      <c r="A72" s="11">
        <v>35.0</v>
      </c>
      <c r="B72" s="54" t="s">
        <v>202</v>
      </c>
      <c r="C72" s="55" t="s">
        <v>500</v>
      </c>
      <c r="D72" s="40" t="s">
        <v>60</v>
      </c>
      <c r="E72" s="40" t="s">
        <v>203</v>
      </c>
      <c r="F72" s="46">
        <v>64.2</v>
      </c>
    </row>
    <row r="73">
      <c r="A73" s="11">
        <v>36.0</v>
      </c>
      <c r="B73" s="43" t="s">
        <v>158</v>
      </c>
      <c r="C73" s="40" t="s">
        <v>526</v>
      </c>
      <c r="D73" s="40" t="s">
        <v>38</v>
      </c>
      <c r="E73" s="40" t="s">
        <v>52</v>
      </c>
      <c r="F73" s="46">
        <v>62.2</v>
      </c>
    </row>
    <row r="74">
      <c r="A74" s="11">
        <v>37.0</v>
      </c>
      <c r="B74" s="43" t="s">
        <v>86</v>
      </c>
      <c r="C74" s="40" t="s">
        <v>494</v>
      </c>
      <c r="D74" s="40" t="s">
        <v>88</v>
      </c>
      <c r="E74" s="40" t="s">
        <v>39</v>
      </c>
      <c r="F74" s="46">
        <v>61.2</v>
      </c>
    </row>
    <row r="75">
      <c r="A75" s="11">
        <v>38.0</v>
      </c>
      <c r="B75" s="43" t="s">
        <v>243</v>
      </c>
      <c r="C75" s="40" t="s">
        <v>267</v>
      </c>
      <c r="D75" s="40" t="s">
        <v>53</v>
      </c>
      <c r="E75" s="40" t="s">
        <v>52</v>
      </c>
      <c r="F75" s="46">
        <v>61.2</v>
      </c>
    </row>
    <row r="76">
      <c r="A76" s="11">
        <v>39.0</v>
      </c>
      <c r="B76" s="43" t="s">
        <v>70</v>
      </c>
      <c r="C76" s="40" t="s">
        <v>257</v>
      </c>
      <c r="D76" s="40" t="s">
        <v>38</v>
      </c>
      <c r="E76" s="40" t="s">
        <v>52</v>
      </c>
      <c r="F76" s="46">
        <v>60.8</v>
      </c>
    </row>
    <row r="77">
      <c r="A77" s="11">
        <v>40.0</v>
      </c>
      <c r="B77" s="43" t="s">
        <v>206</v>
      </c>
      <c r="C77" s="40" t="s">
        <v>506</v>
      </c>
      <c r="D77" s="40" t="s">
        <v>38</v>
      </c>
      <c r="E77" s="40" t="s">
        <v>52</v>
      </c>
      <c r="F77" s="46">
        <v>58.7</v>
      </c>
    </row>
    <row r="78">
      <c r="A78" s="11">
        <v>41.0</v>
      </c>
      <c r="B78" s="43" t="s">
        <v>174</v>
      </c>
      <c r="C78" s="40" t="s">
        <v>479</v>
      </c>
      <c r="D78" s="40" t="s">
        <v>38</v>
      </c>
      <c r="E78" s="40" t="s">
        <v>39</v>
      </c>
      <c r="F78" s="46">
        <v>58.6</v>
      </c>
    </row>
    <row r="79">
      <c r="A79" s="11">
        <v>42.0</v>
      </c>
      <c r="B79" s="43" t="s">
        <v>90</v>
      </c>
      <c r="C79" s="40" t="s">
        <v>528</v>
      </c>
      <c r="D79" s="40" t="s">
        <v>38</v>
      </c>
      <c r="E79" s="40" t="s">
        <v>52</v>
      </c>
      <c r="F79" s="46">
        <v>58.0</v>
      </c>
    </row>
    <row r="80">
      <c r="B80" s="44" t="s">
        <v>1</v>
      </c>
      <c r="C80" s="44" t="s">
        <v>5</v>
      </c>
      <c r="D80" s="44" t="s">
        <v>8</v>
      </c>
      <c r="E80" s="44" t="s">
        <v>12</v>
      </c>
      <c r="F80" s="57" t="s">
        <v>31</v>
      </c>
    </row>
    <row r="81">
      <c r="A81" s="11">
        <v>1.0</v>
      </c>
      <c r="B81" s="40" t="s">
        <v>48</v>
      </c>
      <c r="C81" s="40" t="s">
        <v>491</v>
      </c>
      <c r="D81" s="40" t="s">
        <v>51</v>
      </c>
      <c r="E81" s="40" t="s">
        <v>39</v>
      </c>
      <c r="F81" s="46">
        <v>97.0</v>
      </c>
    </row>
    <row r="82">
      <c r="A82" s="11">
        <v>2.0</v>
      </c>
      <c r="B82" s="40" t="s">
        <v>86</v>
      </c>
      <c r="C82" s="40" t="s">
        <v>494</v>
      </c>
      <c r="D82" s="40" t="s">
        <v>88</v>
      </c>
      <c r="E82" s="40" t="s">
        <v>39</v>
      </c>
      <c r="F82" s="46">
        <v>96.0</v>
      </c>
    </row>
    <row r="83">
      <c r="A83" s="11">
        <v>3.0</v>
      </c>
      <c r="B83" s="40" t="s">
        <v>124</v>
      </c>
      <c r="C83" s="40" t="s">
        <v>480</v>
      </c>
      <c r="D83" s="40" t="s">
        <v>53</v>
      </c>
      <c r="E83" s="40" t="s">
        <v>39</v>
      </c>
      <c r="F83" s="46">
        <v>95.4</v>
      </c>
    </row>
    <row r="84">
      <c r="A84" s="11">
        <v>4.0</v>
      </c>
      <c r="B84" s="40" t="s">
        <v>85</v>
      </c>
      <c r="C84" s="40" t="s">
        <v>483</v>
      </c>
      <c r="D84" s="40" t="s">
        <v>38</v>
      </c>
      <c r="E84" s="40" t="s">
        <v>39</v>
      </c>
      <c r="F84" s="46">
        <v>95.0</v>
      </c>
    </row>
    <row r="85">
      <c r="A85" s="11">
        <v>5.0</v>
      </c>
      <c r="B85" s="40" t="s">
        <v>324</v>
      </c>
      <c r="C85" s="40" t="s">
        <v>529</v>
      </c>
      <c r="D85" s="40" t="s">
        <v>53</v>
      </c>
      <c r="E85" s="40" t="s">
        <v>39</v>
      </c>
      <c r="F85" s="46">
        <v>94.2</v>
      </c>
    </row>
    <row r="86">
      <c r="A86" s="11">
        <v>6.0</v>
      </c>
      <c r="B86" s="40" t="s">
        <v>308</v>
      </c>
      <c r="C86" s="40" t="s">
        <v>481</v>
      </c>
      <c r="D86" s="40" t="s">
        <v>53</v>
      </c>
      <c r="E86" s="40" t="s">
        <v>39</v>
      </c>
      <c r="F86" s="46">
        <v>93.8</v>
      </c>
    </row>
    <row r="87">
      <c r="A87" s="11">
        <v>7.0</v>
      </c>
      <c r="B87" s="40" t="s">
        <v>316</v>
      </c>
      <c r="C87" s="40" t="s">
        <v>531</v>
      </c>
      <c r="D87" s="40" t="s">
        <v>51</v>
      </c>
      <c r="E87" s="40" t="s">
        <v>39</v>
      </c>
      <c r="F87" s="46">
        <v>92.6</v>
      </c>
    </row>
    <row r="88">
      <c r="A88" s="11">
        <v>8.0</v>
      </c>
      <c r="B88" s="40" t="s">
        <v>65</v>
      </c>
      <c r="C88" s="40" t="s">
        <v>532</v>
      </c>
      <c r="D88" s="40" t="s">
        <v>53</v>
      </c>
      <c r="E88" s="40" t="s">
        <v>39</v>
      </c>
      <c r="F88" s="46">
        <v>92.4</v>
      </c>
    </row>
    <row r="89">
      <c r="A89" s="11">
        <v>9.0</v>
      </c>
      <c r="B89" s="40" t="s">
        <v>205</v>
      </c>
      <c r="C89" s="40" t="s">
        <v>503</v>
      </c>
      <c r="D89" s="40" t="s">
        <v>38</v>
      </c>
      <c r="E89" s="40" t="s">
        <v>52</v>
      </c>
      <c r="F89" s="46">
        <v>91.8</v>
      </c>
    </row>
    <row r="90">
      <c r="A90" s="11">
        <v>10.0</v>
      </c>
      <c r="B90" s="40" t="s">
        <v>96</v>
      </c>
      <c r="C90" s="40" t="s">
        <v>525</v>
      </c>
      <c r="D90" s="40" t="s">
        <v>38</v>
      </c>
      <c r="E90" s="40" t="s">
        <v>39</v>
      </c>
      <c r="F90" s="46">
        <v>90.0</v>
      </c>
    </row>
    <row r="91">
      <c r="A91" s="11">
        <v>11.0</v>
      </c>
      <c r="B91" s="40" t="s">
        <v>248</v>
      </c>
      <c r="C91" s="40" t="s">
        <v>533</v>
      </c>
      <c r="D91" s="40" t="s">
        <v>53</v>
      </c>
      <c r="E91" s="40" t="s">
        <v>39</v>
      </c>
      <c r="F91" s="46">
        <v>89.8</v>
      </c>
    </row>
    <row r="92">
      <c r="A92" s="11">
        <v>12.0</v>
      </c>
      <c r="B92" s="40" t="s">
        <v>133</v>
      </c>
      <c r="C92" s="40" t="s">
        <v>208</v>
      </c>
      <c r="D92" s="40" t="s">
        <v>38</v>
      </c>
      <c r="E92" s="40" t="s">
        <v>59</v>
      </c>
      <c r="F92" s="46">
        <v>89.4</v>
      </c>
    </row>
    <row r="93">
      <c r="A93" s="11">
        <v>13.0</v>
      </c>
      <c r="B93" s="40" t="s">
        <v>81</v>
      </c>
      <c r="C93" s="40" t="s">
        <v>495</v>
      </c>
      <c r="D93" s="40" t="s">
        <v>38</v>
      </c>
      <c r="E93" s="40" t="s">
        <v>39</v>
      </c>
      <c r="F93" s="46">
        <v>89.4</v>
      </c>
    </row>
    <row r="94">
      <c r="A94" s="11">
        <v>14.0</v>
      </c>
      <c r="B94" s="40" t="s">
        <v>245</v>
      </c>
      <c r="C94" s="40" t="s">
        <v>484</v>
      </c>
      <c r="D94" s="40" t="s">
        <v>88</v>
      </c>
      <c r="E94" s="40" t="s">
        <v>52</v>
      </c>
      <c r="F94" s="46">
        <v>89.2</v>
      </c>
    </row>
    <row r="95">
      <c r="A95" s="11">
        <v>15.0</v>
      </c>
      <c r="B95" s="40" t="s">
        <v>111</v>
      </c>
      <c r="C95" s="40" t="s">
        <v>396</v>
      </c>
      <c r="D95" s="40" t="s">
        <v>53</v>
      </c>
      <c r="E95" s="40" t="s">
        <v>39</v>
      </c>
      <c r="F95" s="46">
        <v>89.0</v>
      </c>
    </row>
    <row r="96">
      <c r="A96" s="11">
        <v>16.0</v>
      </c>
      <c r="B96" s="40" t="s">
        <v>92</v>
      </c>
      <c r="C96" s="40" t="s">
        <v>517</v>
      </c>
      <c r="D96" s="40" t="s">
        <v>53</v>
      </c>
      <c r="E96" s="40" t="s">
        <v>52</v>
      </c>
      <c r="F96" s="46">
        <v>87.6</v>
      </c>
    </row>
    <row r="97">
      <c r="A97" s="11">
        <v>17.0</v>
      </c>
      <c r="B97" s="40" t="s">
        <v>196</v>
      </c>
      <c r="C97" s="40" t="s">
        <v>446</v>
      </c>
      <c r="D97" s="40" t="s">
        <v>51</v>
      </c>
      <c r="E97" s="40" t="s">
        <v>52</v>
      </c>
      <c r="F97" s="46">
        <v>84.8</v>
      </c>
    </row>
    <row r="98">
      <c r="A98" s="11">
        <v>18.0</v>
      </c>
      <c r="B98" s="43" t="s">
        <v>126</v>
      </c>
      <c r="C98" s="40" t="s">
        <v>488</v>
      </c>
      <c r="D98" s="40" t="s">
        <v>38</v>
      </c>
      <c r="E98" s="40" t="s">
        <v>52</v>
      </c>
      <c r="F98" s="46">
        <v>84.2</v>
      </c>
    </row>
    <row r="99">
      <c r="A99" s="11">
        <v>19.0</v>
      </c>
      <c r="B99" s="43" t="s">
        <v>126</v>
      </c>
      <c r="C99" s="40" t="s">
        <v>488</v>
      </c>
      <c r="D99" s="40" t="s">
        <v>38</v>
      </c>
      <c r="E99" s="40" t="s">
        <v>52</v>
      </c>
      <c r="F99" s="46">
        <v>84.2</v>
      </c>
    </row>
    <row r="100">
      <c r="A100" s="11">
        <v>20.0</v>
      </c>
      <c r="B100" s="43" t="s">
        <v>136</v>
      </c>
      <c r="C100" s="40" t="s">
        <v>482</v>
      </c>
      <c r="D100" s="40" t="s">
        <v>38</v>
      </c>
      <c r="E100" s="40" t="s">
        <v>59</v>
      </c>
      <c r="F100" s="46">
        <v>83.8</v>
      </c>
    </row>
    <row r="101">
      <c r="A101" s="11">
        <v>21.0</v>
      </c>
      <c r="B101" s="43" t="s">
        <v>122</v>
      </c>
      <c r="C101" s="40" t="s">
        <v>524</v>
      </c>
      <c r="D101" s="40" t="s">
        <v>53</v>
      </c>
      <c r="E101" s="40" t="s">
        <v>39</v>
      </c>
      <c r="F101" s="46">
        <v>82.6</v>
      </c>
    </row>
    <row r="102">
      <c r="A102" s="11">
        <v>22.0</v>
      </c>
      <c r="B102" s="43" t="s">
        <v>250</v>
      </c>
      <c r="C102" s="40" t="s">
        <v>432</v>
      </c>
      <c r="D102" s="40" t="s">
        <v>53</v>
      </c>
      <c r="E102" s="40" t="s">
        <v>39</v>
      </c>
      <c r="F102" s="46">
        <v>82.2</v>
      </c>
    </row>
    <row r="103">
      <c r="A103" s="11">
        <v>23.0</v>
      </c>
      <c r="B103" s="43" t="s">
        <v>195</v>
      </c>
      <c r="C103" s="40" t="s">
        <v>498</v>
      </c>
      <c r="D103" s="40" t="s">
        <v>88</v>
      </c>
      <c r="E103" s="40" t="s">
        <v>52</v>
      </c>
      <c r="F103" s="46">
        <v>80.6</v>
      </c>
    </row>
    <row r="104">
      <c r="A104" s="11">
        <v>24.0</v>
      </c>
      <c r="B104" s="43" t="s">
        <v>41</v>
      </c>
      <c r="C104" s="40" t="s">
        <v>411</v>
      </c>
      <c r="D104" s="40" t="s">
        <v>38</v>
      </c>
      <c r="E104" s="40" t="s">
        <v>39</v>
      </c>
      <c r="F104" s="46">
        <v>80.4</v>
      </c>
    </row>
    <row r="105">
      <c r="A105" s="11">
        <v>25.0</v>
      </c>
      <c r="B105" s="43" t="s">
        <v>99</v>
      </c>
      <c r="C105" s="40" t="s">
        <v>118</v>
      </c>
      <c r="D105" s="40" t="s">
        <v>38</v>
      </c>
      <c r="E105" s="40" t="s">
        <v>52</v>
      </c>
      <c r="F105" s="46">
        <v>80.0</v>
      </c>
    </row>
    <row r="106">
      <c r="A106" s="11">
        <v>26.0</v>
      </c>
      <c r="B106" s="43" t="s">
        <v>190</v>
      </c>
      <c r="C106" s="40" t="s">
        <v>486</v>
      </c>
      <c r="D106" s="40" t="s">
        <v>53</v>
      </c>
      <c r="E106" s="40" t="s">
        <v>52</v>
      </c>
      <c r="F106" s="46">
        <v>79.8</v>
      </c>
    </row>
    <row r="107">
      <c r="A107" s="11">
        <v>27.0</v>
      </c>
      <c r="B107" s="43" t="s">
        <v>107</v>
      </c>
      <c r="C107" s="40" t="s">
        <v>536</v>
      </c>
      <c r="D107" s="40" t="s">
        <v>38</v>
      </c>
      <c r="E107" s="40" t="s">
        <v>39</v>
      </c>
      <c r="F107" s="46">
        <v>78.4</v>
      </c>
    </row>
    <row r="108">
      <c r="A108" s="11">
        <v>28.0</v>
      </c>
      <c r="B108" s="43" t="s">
        <v>321</v>
      </c>
      <c r="C108" s="40" t="s">
        <v>537</v>
      </c>
      <c r="D108" s="40" t="s">
        <v>51</v>
      </c>
      <c r="E108" s="40" t="s">
        <v>39</v>
      </c>
      <c r="F108" s="46">
        <v>77.6</v>
      </c>
    </row>
    <row r="109">
      <c r="A109" s="11">
        <v>29.0</v>
      </c>
      <c r="B109" s="43" t="s">
        <v>75</v>
      </c>
      <c r="C109" s="40" t="s">
        <v>490</v>
      </c>
      <c r="D109" s="40" t="s">
        <v>51</v>
      </c>
      <c r="E109" s="40" t="s">
        <v>52</v>
      </c>
      <c r="F109" s="46">
        <v>77.2</v>
      </c>
    </row>
    <row r="110">
      <c r="A110" s="11">
        <v>30.0</v>
      </c>
      <c r="B110" s="43" t="s">
        <v>140</v>
      </c>
      <c r="C110" s="40" t="s">
        <v>499</v>
      </c>
      <c r="D110" s="40" t="s">
        <v>38</v>
      </c>
      <c r="E110" s="40" t="s">
        <v>59</v>
      </c>
      <c r="F110" s="46">
        <v>77.0</v>
      </c>
    </row>
    <row r="111">
      <c r="A111" s="11">
        <v>31.0</v>
      </c>
      <c r="B111" s="43" t="s">
        <v>201</v>
      </c>
      <c r="C111" s="40" t="s">
        <v>515</v>
      </c>
      <c r="D111" s="40" t="s">
        <v>38</v>
      </c>
      <c r="E111" s="40" t="s">
        <v>52</v>
      </c>
      <c r="F111" s="46">
        <v>76.8</v>
      </c>
    </row>
    <row r="112">
      <c r="A112" s="11">
        <v>32.0</v>
      </c>
      <c r="B112" s="43" t="s">
        <v>169</v>
      </c>
      <c r="C112" s="47" t="s">
        <v>538</v>
      </c>
      <c r="D112" s="40" t="s">
        <v>38</v>
      </c>
      <c r="E112" s="40" t="s">
        <v>52</v>
      </c>
      <c r="F112" s="46">
        <v>76.6</v>
      </c>
    </row>
    <row r="113">
      <c r="A113" s="11">
        <v>33.0</v>
      </c>
      <c r="B113" s="43" t="s">
        <v>291</v>
      </c>
      <c r="C113" s="40" t="s">
        <v>290</v>
      </c>
      <c r="D113" s="40" t="s">
        <v>53</v>
      </c>
      <c r="E113" s="40" t="s">
        <v>52</v>
      </c>
      <c r="F113" s="46">
        <v>76.0</v>
      </c>
    </row>
    <row r="114">
      <c r="A114" s="11">
        <v>34.0</v>
      </c>
      <c r="B114" s="43" t="s">
        <v>306</v>
      </c>
      <c r="C114" s="40" t="s">
        <v>459</v>
      </c>
      <c r="D114" s="40" t="s">
        <v>51</v>
      </c>
      <c r="E114" s="40" t="s">
        <v>39</v>
      </c>
      <c r="F114" s="46">
        <v>75.8</v>
      </c>
    </row>
    <row r="115">
      <c r="A115" s="11">
        <v>35.0</v>
      </c>
      <c r="B115" s="43" t="s">
        <v>254</v>
      </c>
      <c r="C115" s="40" t="s">
        <v>527</v>
      </c>
      <c r="D115" s="40" t="s">
        <v>53</v>
      </c>
      <c r="E115" s="40" t="s">
        <v>52</v>
      </c>
      <c r="F115" s="46">
        <v>75.2</v>
      </c>
    </row>
    <row r="116">
      <c r="A116" s="11">
        <v>36.0</v>
      </c>
      <c r="B116" s="43" t="s">
        <v>36</v>
      </c>
      <c r="C116" s="40" t="s">
        <v>450</v>
      </c>
      <c r="D116" s="40" t="s">
        <v>38</v>
      </c>
      <c r="E116" s="40" t="s">
        <v>39</v>
      </c>
      <c r="F116" s="46">
        <v>74.8</v>
      </c>
    </row>
    <row r="117">
      <c r="A117" s="11">
        <v>37.0</v>
      </c>
      <c r="B117" s="43" t="s">
        <v>163</v>
      </c>
      <c r="C117" s="40" t="s">
        <v>539</v>
      </c>
      <c r="D117" s="40" t="s">
        <v>53</v>
      </c>
      <c r="E117" s="40" t="s">
        <v>52</v>
      </c>
      <c r="F117" s="46">
        <v>74.6</v>
      </c>
    </row>
    <row r="118">
      <c r="A118" s="11">
        <v>38.0</v>
      </c>
      <c r="B118" s="54" t="s">
        <v>202</v>
      </c>
      <c r="C118" s="55" t="s">
        <v>500</v>
      </c>
      <c r="D118" s="40" t="s">
        <v>60</v>
      </c>
      <c r="E118" s="40" t="s">
        <v>203</v>
      </c>
      <c r="F118" s="46">
        <v>74.4</v>
      </c>
    </row>
    <row r="119">
      <c r="A119" s="11">
        <v>39.0</v>
      </c>
      <c r="B119" s="43" t="s">
        <v>206</v>
      </c>
      <c r="C119" s="40" t="s">
        <v>506</v>
      </c>
      <c r="D119" s="40" t="s">
        <v>38</v>
      </c>
      <c r="E119" s="40" t="s">
        <v>52</v>
      </c>
      <c r="F119" s="46">
        <v>74.2</v>
      </c>
    </row>
    <row r="120">
      <c r="A120" s="11">
        <v>40.0</v>
      </c>
      <c r="B120" s="43" t="s">
        <v>243</v>
      </c>
      <c r="C120" s="40" t="s">
        <v>267</v>
      </c>
      <c r="D120" s="40" t="s">
        <v>53</v>
      </c>
      <c r="E120" s="40" t="s">
        <v>52</v>
      </c>
      <c r="F120" s="46">
        <v>74.0</v>
      </c>
    </row>
    <row r="121">
      <c r="A121" s="11">
        <v>41.0</v>
      </c>
      <c r="B121" s="43" t="s">
        <v>106</v>
      </c>
      <c r="C121" s="40" t="s">
        <v>273</v>
      </c>
      <c r="D121" s="40" t="s">
        <v>53</v>
      </c>
      <c r="E121" s="40" t="s">
        <v>52</v>
      </c>
      <c r="F121" s="46">
        <v>74.0</v>
      </c>
    </row>
    <row r="122">
      <c r="A122" s="11">
        <v>42.0</v>
      </c>
      <c r="B122" s="43" t="s">
        <v>73</v>
      </c>
      <c r="C122" s="40" t="s">
        <v>541</v>
      </c>
      <c r="D122" s="40" t="s">
        <v>38</v>
      </c>
      <c r="E122" s="40" t="s">
        <v>39</v>
      </c>
      <c r="F122" s="46">
        <v>73.6</v>
      </c>
    </row>
    <row r="123">
      <c r="A123" s="11">
        <v>43.0</v>
      </c>
      <c r="B123" s="43" t="s">
        <v>174</v>
      </c>
      <c r="C123" s="40" t="s">
        <v>479</v>
      </c>
      <c r="D123" s="40" t="s">
        <v>38</v>
      </c>
      <c r="E123" s="40" t="s">
        <v>39</v>
      </c>
      <c r="F123" s="46">
        <v>71.4</v>
      </c>
    </row>
    <row r="124">
      <c r="A124" s="11">
        <v>44.0</v>
      </c>
      <c r="B124" s="43" t="s">
        <v>200</v>
      </c>
      <c r="C124" s="40" t="s">
        <v>470</v>
      </c>
      <c r="D124" s="40" t="s">
        <v>38</v>
      </c>
      <c r="E124" s="40" t="s">
        <v>52</v>
      </c>
      <c r="F124" s="46">
        <v>71.0</v>
      </c>
    </row>
    <row r="125">
      <c r="A125" s="11">
        <v>45.0</v>
      </c>
      <c r="B125" s="43" t="s">
        <v>234</v>
      </c>
      <c r="C125" s="40" t="s">
        <v>496</v>
      </c>
      <c r="D125" s="40" t="s">
        <v>53</v>
      </c>
      <c r="E125" s="40" t="s">
        <v>52</v>
      </c>
      <c r="F125" s="46">
        <v>71.0</v>
      </c>
    </row>
    <row r="126">
      <c r="A126" s="11">
        <v>46.0</v>
      </c>
      <c r="B126" s="43" t="s">
        <v>225</v>
      </c>
      <c r="C126" s="40" t="s">
        <v>493</v>
      </c>
      <c r="D126" s="40" t="s">
        <v>88</v>
      </c>
      <c r="E126" s="40" t="s">
        <v>52</v>
      </c>
      <c r="F126" s="46">
        <v>69.0</v>
      </c>
    </row>
    <row r="127">
      <c r="A127" s="11">
        <v>47.0</v>
      </c>
      <c r="B127" s="43" t="s">
        <v>112</v>
      </c>
      <c r="C127" s="40" t="s">
        <v>275</v>
      </c>
      <c r="D127" s="40" t="s">
        <v>53</v>
      </c>
      <c r="E127" s="40" t="s">
        <v>52</v>
      </c>
      <c r="F127" s="46">
        <v>69.0</v>
      </c>
    </row>
    <row r="128">
      <c r="A128" s="11">
        <v>48.0</v>
      </c>
      <c r="B128" s="43" t="s">
        <v>47</v>
      </c>
      <c r="C128" s="40" t="s">
        <v>492</v>
      </c>
      <c r="D128" s="40" t="s">
        <v>51</v>
      </c>
      <c r="E128" s="40" t="s">
        <v>52</v>
      </c>
      <c r="F128" s="46">
        <v>67.0</v>
      </c>
    </row>
    <row r="129">
      <c r="A129" s="11">
        <v>49.0</v>
      </c>
      <c r="B129" s="43" t="s">
        <v>332</v>
      </c>
      <c r="C129" s="40" t="s">
        <v>544</v>
      </c>
      <c r="D129" s="40" t="s">
        <v>51</v>
      </c>
      <c r="E129" s="40" t="s">
        <v>39</v>
      </c>
      <c r="F129" s="46">
        <v>67.0</v>
      </c>
    </row>
    <row r="130">
      <c r="A130" s="11">
        <v>50.0</v>
      </c>
      <c r="B130" s="43" t="s">
        <v>116</v>
      </c>
      <c r="C130" s="40" t="s">
        <v>545</v>
      </c>
      <c r="D130" s="40" t="s">
        <v>53</v>
      </c>
      <c r="E130" s="40" t="s">
        <v>52</v>
      </c>
      <c r="F130" s="46">
        <v>65.8</v>
      </c>
    </row>
    <row r="131">
      <c r="A131" s="11">
        <v>51.0</v>
      </c>
      <c r="B131" s="43" t="s">
        <v>265</v>
      </c>
      <c r="C131" s="40" t="s">
        <v>521</v>
      </c>
      <c r="D131" s="40" t="s">
        <v>53</v>
      </c>
      <c r="E131" s="40" t="s">
        <v>39</v>
      </c>
      <c r="F131" s="46">
        <v>65.8</v>
      </c>
    </row>
    <row r="132">
      <c r="A132" s="11">
        <v>52.0</v>
      </c>
      <c r="B132" s="43" t="s">
        <v>57</v>
      </c>
      <c r="C132" s="40" t="s">
        <v>530</v>
      </c>
      <c r="D132" s="40" t="s">
        <v>51</v>
      </c>
      <c r="E132" s="40" t="s">
        <v>52</v>
      </c>
      <c r="F132" s="46">
        <v>65.2</v>
      </c>
    </row>
    <row r="133">
      <c r="A133" s="11">
        <v>53.0</v>
      </c>
      <c r="B133" s="43" t="s">
        <v>55</v>
      </c>
      <c r="C133" s="40" t="s">
        <v>445</v>
      </c>
      <c r="D133" s="40" t="s">
        <v>60</v>
      </c>
      <c r="E133" s="40" t="s">
        <v>62</v>
      </c>
      <c r="F133" s="46">
        <v>65.0</v>
      </c>
    </row>
    <row r="134">
      <c r="A134" s="11">
        <v>54.0</v>
      </c>
      <c r="B134" s="43" t="s">
        <v>43</v>
      </c>
      <c r="C134" s="40" t="s">
        <v>49</v>
      </c>
      <c r="D134" s="40" t="s">
        <v>53</v>
      </c>
      <c r="E134" s="40" t="s">
        <v>59</v>
      </c>
      <c r="F134" s="46">
        <v>64.2</v>
      </c>
    </row>
    <row r="135">
      <c r="A135" s="11">
        <v>55.0</v>
      </c>
      <c r="B135" s="43" t="s">
        <v>87</v>
      </c>
      <c r="C135" s="40" t="s">
        <v>505</v>
      </c>
      <c r="D135" s="40" t="s">
        <v>38</v>
      </c>
      <c r="E135" s="40" t="s">
        <v>52</v>
      </c>
      <c r="F135" s="46">
        <v>62.2</v>
      </c>
    </row>
    <row r="136">
      <c r="A136" s="11">
        <v>56.0</v>
      </c>
      <c r="B136" s="43" t="s">
        <v>259</v>
      </c>
      <c r="C136" s="40" t="s">
        <v>286</v>
      </c>
      <c r="D136" s="40" t="s">
        <v>53</v>
      </c>
      <c r="E136" s="40" t="s">
        <v>52</v>
      </c>
      <c r="F136" s="46">
        <v>62.0</v>
      </c>
    </row>
    <row r="137">
      <c r="A137" s="11">
        <v>57.0</v>
      </c>
      <c r="B137" s="43" t="s">
        <v>310</v>
      </c>
      <c r="C137" s="40" t="s">
        <v>428</v>
      </c>
      <c r="D137" s="40" t="s">
        <v>51</v>
      </c>
      <c r="E137" s="40" t="s">
        <v>39</v>
      </c>
      <c r="F137" s="46">
        <v>61.8</v>
      </c>
    </row>
    <row r="138">
      <c r="A138" s="11">
        <v>58.0</v>
      </c>
      <c r="B138" s="43" t="s">
        <v>103</v>
      </c>
      <c r="C138" s="40" t="s">
        <v>540</v>
      </c>
      <c r="D138" s="40" t="s">
        <v>88</v>
      </c>
      <c r="E138" s="40" t="s">
        <v>39</v>
      </c>
      <c r="F138" s="46">
        <v>60.8</v>
      </c>
    </row>
    <row r="139">
      <c r="A139" s="11">
        <v>59.0</v>
      </c>
      <c r="B139" s="43" t="s">
        <v>159</v>
      </c>
      <c r="C139" s="40" t="s">
        <v>406</v>
      </c>
      <c r="D139" s="40" t="s">
        <v>38</v>
      </c>
      <c r="E139" s="40" t="s">
        <v>52</v>
      </c>
      <c r="F139" s="46">
        <v>60.2</v>
      </c>
    </row>
    <row r="140">
      <c r="A140" s="11">
        <v>60.0</v>
      </c>
      <c r="B140" s="43" t="s">
        <v>91</v>
      </c>
      <c r="C140" s="40" t="s">
        <v>511</v>
      </c>
      <c r="D140" s="40" t="s">
        <v>88</v>
      </c>
      <c r="E140" s="40" t="s">
        <v>39</v>
      </c>
      <c r="F140" s="46">
        <v>60.0</v>
      </c>
    </row>
    <row r="141">
      <c r="A141" s="11">
        <v>61.0</v>
      </c>
      <c r="B141" s="43" t="s">
        <v>98</v>
      </c>
      <c r="C141" s="40" t="s">
        <v>550</v>
      </c>
      <c r="D141" s="40" t="s">
        <v>88</v>
      </c>
      <c r="E141" s="40" t="s">
        <v>39</v>
      </c>
      <c r="F141" s="46">
        <v>60.0</v>
      </c>
    </row>
    <row r="142">
      <c r="A142" s="11">
        <v>62.0</v>
      </c>
      <c r="B142" s="43" t="s">
        <v>325</v>
      </c>
      <c r="C142" s="40" t="s">
        <v>355</v>
      </c>
      <c r="D142" s="40" t="s">
        <v>51</v>
      </c>
      <c r="E142" s="40" t="s">
        <v>39</v>
      </c>
      <c r="F142" s="46">
        <v>59.6</v>
      </c>
    </row>
    <row r="143">
      <c r="A143" s="11">
        <v>63.0</v>
      </c>
      <c r="B143" s="43" t="s">
        <v>210</v>
      </c>
      <c r="C143" s="40" t="s">
        <v>551</v>
      </c>
      <c r="D143" s="40" t="s">
        <v>38</v>
      </c>
      <c r="E143" s="40" t="s">
        <v>52</v>
      </c>
      <c r="F143" s="46">
        <v>59.0</v>
      </c>
    </row>
    <row r="144">
      <c r="A144" s="11">
        <v>64.0</v>
      </c>
      <c r="B144" s="43" t="s">
        <v>318</v>
      </c>
      <c r="C144" s="40" t="s">
        <v>477</v>
      </c>
      <c r="D144" s="40" t="s">
        <v>51</v>
      </c>
      <c r="E144" s="40" t="s">
        <v>39</v>
      </c>
      <c r="F144" s="46">
        <v>58.2</v>
      </c>
    </row>
  </sheetData>
  <conditionalFormatting sqref="B1:B849">
    <cfRule type="expression" dxfId="0" priority="1">
      <formula>AND($B1&lt;&gt;"", COUNTIF($B$1:$B$351, $B1) &gt; 1)</formula>
    </cfRule>
  </conditionalFormatting>
  <hyperlinks>
    <hyperlink r:id="rId1" ref="C42"/>
    <hyperlink r:id="rId2" ref="C112"/>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75"/>
    <col customWidth="1" min="3" max="3" width="36.38"/>
    <col customWidth="1" min="6" max="6" width="23.88"/>
  </cols>
  <sheetData>
    <row r="1">
      <c r="A1" s="48" t="s">
        <v>523</v>
      </c>
      <c r="B1" s="49"/>
      <c r="C1" s="49"/>
      <c r="D1" s="49"/>
      <c r="E1" s="49"/>
      <c r="F1" s="50"/>
    </row>
    <row r="2">
      <c r="A2" s="51" t="s">
        <v>478</v>
      </c>
      <c r="B2" s="52" t="s">
        <v>1</v>
      </c>
      <c r="C2" s="52" t="s">
        <v>5</v>
      </c>
      <c r="D2" s="52" t="s">
        <v>8</v>
      </c>
      <c r="E2" s="52" t="s">
        <v>12</v>
      </c>
      <c r="F2" s="52" t="s">
        <v>33</v>
      </c>
    </row>
    <row r="3">
      <c r="A3" s="33">
        <v>1.0</v>
      </c>
      <c r="B3" s="53" t="s">
        <v>136</v>
      </c>
      <c r="C3" s="53" t="s">
        <v>482</v>
      </c>
      <c r="D3" s="53" t="s">
        <v>38</v>
      </c>
      <c r="E3" s="53" t="s">
        <v>59</v>
      </c>
      <c r="F3" s="53">
        <v>81.93333333</v>
      </c>
    </row>
    <row r="4">
      <c r="A4" s="33">
        <v>2.0</v>
      </c>
      <c r="B4" s="53" t="s">
        <v>85</v>
      </c>
      <c r="C4" s="53" t="s">
        <v>483</v>
      </c>
      <c r="D4" s="53" t="s">
        <v>38</v>
      </c>
      <c r="E4" s="53" t="s">
        <v>39</v>
      </c>
      <c r="F4" s="53">
        <v>81.0</v>
      </c>
    </row>
    <row r="5">
      <c r="A5" s="33">
        <v>3.0</v>
      </c>
      <c r="B5" s="53" t="s">
        <v>245</v>
      </c>
      <c r="C5" s="53" t="s">
        <v>484</v>
      </c>
      <c r="D5" s="53" t="s">
        <v>88</v>
      </c>
      <c r="E5" s="53" t="s">
        <v>52</v>
      </c>
      <c r="F5" s="53">
        <v>79.86666667</v>
      </c>
    </row>
    <row r="6">
      <c r="A6" s="33">
        <v>4.0</v>
      </c>
      <c r="B6" s="53" t="s">
        <v>190</v>
      </c>
      <c r="C6" s="53" t="s">
        <v>486</v>
      </c>
      <c r="D6" s="53" t="s">
        <v>53</v>
      </c>
      <c r="E6" s="53" t="s">
        <v>52</v>
      </c>
      <c r="F6" s="53">
        <v>78.86666667</v>
      </c>
    </row>
    <row r="7">
      <c r="A7" s="33">
        <v>5.0</v>
      </c>
      <c r="B7" s="56" t="s">
        <v>133</v>
      </c>
      <c r="C7" s="53" t="s">
        <v>208</v>
      </c>
      <c r="D7" s="53" t="s">
        <v>38</v>
      </c>
      <c r="E7" s="53" t="s">
        <v>59</v>
      </c>
      <c r="F7" s="53">
        <v>78.8</v>
      </c>
    </row>
    <row r="8">
      <c r="A8" s="33">
        <v>6.0</v>
      </c>
      <c r="B8" s="56" t="s">
        <v>126</v>
      </c>
      <c r="C8" s="53" t="s">
        <v>488</v>
      </c>
      <c r="D8" s="53" t="s">
        <v>38</v>
      </c>
      <c r="E8" s="53" t="s">
        <v>52</v>
      </c>
      <c r="F8" s="53">
        <v>78.26666667</v>
      </c>
    </row>
    <row r="9">
      <c r="A9" s="33">
        <v>7.0</v>
      </c>
      <c r="B9" s="53" t="s">
        <v>169</v>
      </c>
      <c r="C9" s="53" t="s">
        <v>489</v>
      </c>
      <c r="D9" s="53" t="s">
        <v>38</v>
      </c>
      <c r="E9" s="53" t="s">
        <v>52</v>
      </c>
      <c r="F9" s="53">
        <v>77.4</v>
      </c>
    </row>
    <row r="10">
      <c r="A10" s="33">
        <v>8.0</v>
      </c>
      <c r="B10" s="53" t="s">
        <v>75</v>
      </c>
      <c r="C10" s="53" t="s">
        <v>490</v>
      </c>
      <c r="D10" s="53" t="s">
        <v>51</v>
      </c>
      <c r="E10" s="53" t="s">
        <v>52</v>
      </c>
      <c r="F10" s="53">
        <v>75.66666667</v>
      </c>
    </row>
    <row r="11">
      <c r="A11" s="33">
        <v>9.0</v>
      </c>
      <c r="B11" s="53" t="s">
        <v>48</v>
      </c>
      <c r="C11" s="53" t="s">
        <v>491</v>
      </c>
      <c r="D11" s="53" t="s">
        <v>51</v>
      </c>
      <c r="E11" s="53" t="s">
        <v>39</v>
      </c>
      <c r="F11" s="53">
        <v>75.2</v>
      </c>
    </row>
    <row r="12">
      <c r="A12" s="33">
        <v>10.0</v>
      </c>
      <c r="B12" s="53" t="s">
        <v>196</v>
      </c>
      <c r="C12" s="53" t="s">
        <v>446</v>
      </c>
      <c r="D12" s="53" t="s">
        <v>51</v>
      </c>
      <c r="E12" s="53" t="s">
        <v>52</v>
      </c>
      <c r="F12" s="53">
        <v>74.73333333</v>
      </c>
    </row>
    <row r="13">
      <c r="A13" s="33">
        <v>11.0</v>
      </c>
      <c r="B13" s="53" t="s">
        <v>225</v>
      </c>
      <c r="C13" s="53" t="s">
        <v>493</v>
      </c>
      <c r="D13" s="53" t="s">
        <v>88</v>
      </c>
      <c r="E13" s="53" t="s">
        <v>52</v>
      </c>
      <c r="F13" s="53">
        <v>73.53333333</v>
      </c>
    </row>
    <row r="14">
      <c r="A14" s="33">
        <v>12.0</v>
      </c>
      <c r="B14" s="53" t="s">
        <v>99</v>
      </c>
      <c r="C14" s="53" t="s">
        <v>118</v>
      </c>
      <c r="D14" s="53" t="s">
        <v>38</v>
      </c>
      <c r="E14" s="53" t="s">
        <v>52</v>
      </c>
      <c r="F14" s="53">
        <v>73.0</v>
      </c>
    </row>
    <row r="15">
      <c r="A15" s="33">
        <v>13.0</v>
      </c>
      <c r="B15" s="53" t="s">
        <v>86</v>
      </c>
      <c r="C15" s="53" t="s">
        <v>494</v>
      </c>
      <c r="D15" s="53" t="s">
        <v>88</v>
      </c>
      <c r="E15" s="53" t="s">
        <v>39</v>
      </c>
      <c r="F15" s="53">
        <v>72.8</v>
      </c>
    </row>
    <row r="16">
      <c r="A16" s="33">
        <v>14.0</v>
      </c>
      <c r="B16" s="53" t="s">
        <v>291</v>
      </c>
      <c r="C16" s="53" t="s">
        <v>290</v>
      </c>
      <c r="D16" s="53" t="s">
        <v>53</v>
      </c>
      <c r="E16" s="53" t="s">
        <v>52</v>
      </c>
      <c r="F16" s="53">
        <v>72.2</v>
      </c>
    </row>
    <row r="17">
      <c r="A17" s="33">
        <v>15.0</v>
      </c>
      <c r="B17" s="53" t="s">
        <v>41</v>
      </c>
      <c r="C17" s="53" t="s">
        <v>411</v>
      </c>
      <c r="D17" s="53" t="s">
        <v>38</v>
      </c>
      <c r="E17" s="53" t="s">
        <v>39</v>
      </c>
      <c r="F17" s="53">
        <v>72.06666667</v>
      </c>
    </row>
    <row r="18">
      <c r="A18" s="33">
        <v>16.0</v>
      </c>
      <c r="B18" s="53" t="s">
        <v>234</v>
      </c>
      <c r="C18" s="53" t="s">
        <v>496</v>
      </c>
      <c r="D18" s="53" t="s">
        <v>53</v>
      </c>
      <c r="E18" s="53" t="s">
        <v>52</v>
      </c>
      <c r="F18" s="53">
        <v>70.0</v>
      </c>
    </row>
    <row r="19">
      <c r="A19" s="33">
        <v>17.0</v>
      </c>
      <c r="B19" s="53" t="s">
        <v>195</v>
      </c>
      <c r="C19" s="53" t="s">
        <v>498</v>
      </c>
      <c r="D19" s="53" t="s">
        <v>88</v>
      </c>
      <c r="E19" s="53" t="s">
        <v>52</v>
      </c>
      <c r="F19" s="53">
        <v>70.0</v>
      </c>
    </row>
    <row r="20">
      <c r="A20" s="33">
        <v>18.0</v>
      </c>
      <c r="B20" s="53" t="s">
        <v>200</v>
      </c>
      <c r="C20" s="53" t="s">
        <v>470</v>
      </c>
      <c r="D20" s="53" t="s">
        <v>38</v>
      </c>
      <c r="E20" s="53" t="s">
        <v>52</v>
      </c>
      <c r="F20" s="53">
        <v>69.66666667</v>
      </c>
    </row>
    <row r="21">
      <c r="A21" s="33">
        <v>19.0</v>
      </c>
      <c r="B21" s="53" t="s">
        <v>140</v>
      </c>
      <c r="C21" s="53" t="s">
        <v>499</v>
      </c>
      <c r="D21" s="53" t="s">
        <v>38</v>
      </c>
      <c r="E21" s="53" t="s">
        <v>59</v>
      </c>
      <c r="F21" s="53">
        <v>69.06666667</v>
      </c>
    </row>
    <row r="22">
      <c r="A22" s="33">
        <v>20.0</v>
      </c>
      <c r="B22" s="53" t="s">
        <v>202</v>
      </c>
      <c r="C22" s="53" t="s">
        <v>500</v>
      </c>
      <c r="D22" s="53" t="s">
        <v>60</v>
      </c>
      <c r="E22" s="53" t="s">
        <v>203</v>
      </c>
      <c r="F22" s="53">
        <v>67.6</v>
      </c>
    </row>
    <row r="23">
      <c r="A23" s="33">
        <v>21.0</v>
      </c>
      <c r="B23" s="53" t="s">
        <v>228</v>
      </c>
      <c r="C23" s="53" t="s">
        <v>501</v>
      </c>
      <c r="D23" s="53" t="s">
        <v>53</v>
      </c>
      <c r="E23" s="53" t="s">
        <v>52</v>
      </c>
      <c r="F23" s="53">
        <v>66.86666667</v>
      </c>
    </row>
    <row r="24">
      <c r="A24" s="33">
        <v>22.0</v>
      </c>
      <c r="B24" s="53" t="s">
        <v>132</v>
      </c>
      <c r="C24" s="53" t="s">
        <v>502</v>
      </c>
      <c r="D24" s="53" t="s">
        <v>38</v>
      </c>
      <c r="E24" s="53" t="s">
        <v>52</v>
      </c>
      <c r="F24" s="53">
        <v>66.66666667</v>
      </c>
    </row>
    <row r="25">
      <c r="A25" s="33">
        <v>23.0</v>
      </c>
      <c r="B25" s="53" t="s">
        <v>205</v>
      </c>
      <c r="C25" s="53" t="s">
        <v>503</v>
      </c>
      <c r="D25" s="53" t="s">
        <v>38</v>
      </c>
      <c r="E25" s="53" t="s">
        <v>52</v>
      </c>
      <c r="F25" s="53">
        <v>65.73333333</v>
      </c>
    </row>
    <row r="26">
      <c r="A26" s="33">
        <v>24.0</v>
      </c>
      <c r="B26" s="53" t="s">
        <v>209</v>
      </c>
      <c r="C26" s="53" t="s">
        <v>504</v>
      </c>
      <c r="D26" s="53" t="s">
        <v>53</v>
      </c>
      <c r="E26" s="53" t="s">
        <v>59</v>
      </c>
      <c r="F26" s="53">
        <v>65.46666667</v>
      </c>
    </row>
    <row r="27">
      <c r="A27" s="33">
        <v>25.0</v>
      </c>
      <c r="B27" s="53" t="s">
        <v>243</v>
      </c>
      <c r="C27" s="53" t="s">
        <v>267</v>
      </c>
      <c r="D27" s="53" t="s">
        <v>53</v>
      </c>
      <c r="E27" s="53" t="s">
        <v>52</v>
      </c>
      <c r="F27" s="53">
        <v>65.46666667</v>
      </c>
    </row>
    <row r="28">
      <c r="A28" s="33">
        <v>26.0</v>
      </c>
      <c r="B28" s="53" t="s">
        <v>87</v>
      </c>
      <c r="C28" s="53" t="s">
        <v>505</v>
      </c>
      <c r="D28" s="53" t="s">
        <v>38</v>
      </c>
      <c r="E28" s="53" t="s">
        <v>52</v>
      </c>
      <c r="F28" s="53">
        <v>64.4</v>
      </c>
    </row>
    <row r="29">
      <c r="A29" s="33">
        <v>27.0</v>
      </c>
      <c r="B29" s="53" t="s">
        <v>206</v>
      </c>
      <c r="C29" s="53" t="s">
        <v>506</v>
      </c>
      <c r="D29" s="53" t="s">
        <v>38</v>
      </c>
      <c r="E29" s="53" t="s">
        <v>52</v>
      </c>
      <c r="F29" s="53">
        <v>63.86666667</v>
      </c>
    </row>
    <row r="30">
      <c r="A30" s="33">
        <v>28.0</v>
      </c>
      <c r="B30" s="53" t="s">
        <v>145</v>
      </c>
      <c r="C30" s="53" t="s">
        <v>507</v>
      </c>
      <c r="D30" s="53" t="s">
        <v>51</v>
      </c>
      <c r="E30" s="53" t="s">
        <v>52</v>
      </c>
      <c r="F30" s="53">
        <v>63.33333333</v>
      </c>
    </row>
    <row r="31">
      <c r="A31" s="33">
        <v>29.0</v>
      </c>
      <c r="B31" s="53" t="s">
        <v>124</v>
      </c>
      <c r="C31" s="53" t="s">
        <v>480</v>
      </c>
      <c r="D31" s="53" t="s">
        <v>53</v>
      </c>
      <c r="E31" s="53" t="s">
        <v>39</v>
      </c>
      <c r="F31" s="53">
        <v>63.0</v>
      </c>
    </row>
    <row r="32">
      <c r="A32" s="33">
        <v>30.0</v>
      </c>
      <c r="B32" s="53" t="s">
        <v>174</v>
      </c>
      <c r="C32" s="53" t="s">
        <v>479</v>
      </c>
      <c r="D32" s="53" t="s">
        <v>38</v>
      </c>
      <c r="E32" s="53" t="s">
        <v>39</v>
      </c>
      <c r="F32" s="53">
        <v>62.86666667</v>
      </c>
    </row>
    <row r="33">
      <c r="A33" s="33">
        <v>31.0</v>
      </c>
      <c r="B33" s="53" t="s">
        <v>100</v>
      </c>
      <c r="C33" s="53" t="s">
        <v>215</v>
      </c>
      <c r="D33" s="53" t="s">
        <v>38</v>
      </c>
      <c r="E33" s="53" t="s">
        <v>52</v>
      </c>
      <c r="F33" s="53">
        <v>61.93333333</v>
      </c>
    </row>
    <row r="34">
      <c r="A34" s="33">
        <v>32.0</v>
      </c>
      <c r="B34" s="53" t="s">
        <v>112</v>
      </c>
      <c r="C34" s="53" t="s">
        <v>275</v>
      </c>
      <c r="D34" s="53" t="s">
        <v>53</v>
      </c>
      <c r="E34" s="53" t="s">
        <v>52</v>
      </c>
      <c r="F34" s="53">
        <v>61.46666667</v>
      </c>
    </row>
    <row r="35">
      <c r="A35" s="33">
        <v>33.0</v>
      </c>
      <c r="B35" s="53" t="s">
        <v>36</v>
      </c>
      <c r="C35" s="53" t="s">
        <v>450</v>
      </c>
      <c r="D35" s="53" t="s">
        <v>38</v>
      </c>
      <c r="E35" s="53" t="s">
        <v>39</v>
      </c>
      <c r="F35" s="53">
        <v>59.8</v>
      </c>
    </row>
    <row r="36">
      <c r="A36" s="58" t="s">
        <v>542</v>
      </c>
      <c r="B36" s="49"/>
      <c r="C36" s="49"/>
      <c r="D36" s="49"/>
      <c r="E36" s="49"/>
      <c r="F36" s="50"/>
    </row>
    <row r="37">
      <c r="A37" s="59" t="s">
        <v>478</v>
      </c>
      <c r="B37" s="60" t="s">
        <v>1</v>
      </c>
      <c r="C37" s="60" t="s">
        <v>5</v>
      </c>
      <c r="D37" s="60" t="s">
        <v>8</v>
      </c>
      <c r="E37" s="60" t="s">
        <v>12</v>
      </c>
      <c r="F37" s="59" t="s">
        <v>543</v>
      </c>
    </row>
    <row r="38">
      <c r="A38" s="41">
        <v>1.0</v>
      </c>
      <c r="B38" s="61" t="s">
        <v>45</v>
      </c>
      <c r="C38" s="61" t="s">
        <v>296</v>
      </c>
      <c r="D38" s="61" t="s">
        <v>38</v>
      </c>
      <c r="E38" s="61" t="s">
        <v>52</v>
      </c>
      <c r="F38" s="62">
        <v>81.0</v>
      </c>
    </row>
    <row r="39">
      <c r="A39" s="41">
        <v>2.0</v>
      </c>
      <c r="B39" s="61" t="s">
        <v>139</v>
      </c>
      <c r="C39" s="61" t="s">
        <v>513</v>
      </c>
      <c r="D39" s="61" t="s">
        <v>53</v>
      </c>
      <c r="E39" s="61" t="s">
        <v>52</v>
      </c>
      <c r="F39" s="62">
        <v>77.8</v>
      </c>
    </row>
    <row r="40">
      <c r="A40" s="41">
        <v>3.0</v>
      </c>
      <c r="B40" s="61" t="s">
        <v>246</v>
      </c>
      <c r="C40" s="61" t="s">
        <v>374</v>
      </c>
      <c r="D40" s="61" t="s">
        <v>53</v>
      </c>
      <c r="E40" s="61" t="s">
        <v>59</v>
      </c>
      <c r="F40" s="62">
        <v>76.5</v>
      </c>
    </row>
    <row r="41">
      <c r="A41" s="41">
        <v>4.0</v>
      </c>
      <c r="B41" s="61" t="s">
        <v>251</v>
      </c>
      <c r="C41" s="61" t="s">
        <v>518</v>
      </c>
      <c r="D41" s="61" t="s">
        <v>53</v>
      </c>
      <c r="E41" s="61" t="s">
        <v>52</v>
      </c>
      <c r="F41" s="62">
        <v>69.5</v>
      </c>
    </row>
    <row r="42">
      <c r="A42" s="41">
        <v>5.0</v>
      </c>
      <c r="B42" s="61" t="s">
        <v>148</v>
      </c>
      <c r="C42" s="61" t="s">
        <v>519</v>
      </c>
      <c r="D42" s="61" t="s">
        <v>38</v>
      </c>
      <c r="E42" s="61" t="s">
        <v>52</v>
      </c>
      <c r="F42" s="62">
        <v>69.0</v>
      </c>
    </row>
    <row r="43">
      <c r="A43" s="41">
        <v>6.0</v>
      </c>
      <c r="B43" s="61" t="s">
        <v>188</v>
      </c>
      <c r="C43" s="61" t="s">
        <v>497</v>
      </c>
      <c r="D43" s="61" t="s">
        <v>88</v>
      </c>
      <c r="E43" s="61" t="s">
        <v>52</v>
      </c>
      <c r="F43" s="62">
        <v>67.6</v>
      </c>
    </row>
    <row r="44">
      <c r="A44" s="41">
        <v>7.0</v>
      </c>
      <c r="B44" s="61" t="s">
        <v>77</v>
      </c>
      <c r="C44" s="61" t="s">
        <v>520</v>
      </c>
      <c r="D44" s="61" t="s">
        <v>38</v>
      </c>
      <c r="E44" s="61" t="s">
        <v>39</v>
      </c>
      <c r="F44" s="62">
        <v>67.5</v>
      </c>
    </row>
    <row r="45">
      <c r="A45" s="41">
        <v>8.0</v>
      </c>
      <c r="B45" s="61" t="s">
        <v>253</v>
      </c>
      <c r="C45" s="61" t="s">
        <v>295</v>
      </c>
      <c r="D45" s="61" t="s">
        <v>53</v>
      </c>
      <c r="E45" s="61" t="s">
        <v>52</v>
      </c>
      <c r="F45" s="62">
        <v>65.8</v>
      </c>
    </row>
    <row r="46">
      <c r="A46" s="41">
        <v>9.0</v>
      </c>
      <c r="B46" s="61" t="s">
        <v>213</v>
      </c>
      <c r="C46" s="61" t="s">
        <v>453</v>
      </c>
      <c r="D46" s="61" t="s">
        <v>53</v>
      </c>
      <c r="E46" s="61" t="s">
        <v>59</v>
      </c>
      <c r="F46" s="62">
        <v>65.3</v>
      </c>
    </row>
    <row r="47">
      <c r="A47" s="41">
        <v>10.0</v>
      </c>
      <c r="B47" s="61" t="s">
        <v>158</v>
      </c>
      <c r="C47" s="61" t="s">
        <v>526</v>
      </c>
      <c r="D47" s="61" t="s">
        <v>38</v>
      </c>
      <c r="E47" s="61" t="s">
        <v>52</v>
      </c>
      <c r="F47" s="62">
        <v>62.2</v>
      </c>
    </row>
    <row r="48">
      <c r="A48" s="41">
        <v>11.0</v>
      </c>
      <c r="B48" s="61" t="s">
        <v>70</v>
      </c>
      <c r="C48" s="61" t="s">
        <v>257</v>
      </c>
      <c r="D48" s="61" t="s">
        <v>38</v>
      </c>
      <c r="E48" s="61" t="s">
        <v>52</v>
      </c>
      <c r="F48" s="62">
        <v>60.8</v>
      </c>
    </row>
    <row r="49">
      <c r="A49" s="41">
        <v>12.0</v>
      </c>
      <c r="B49" s="61" t="s">
        <v>90</v>
      </c>
      <c r="C49" s="61" t="s">
        <v>528</v>
      </c>
      <c r="D49" s="61" t="s">
        <v>38</v>
      </c>
      <c r="E49" s="61" t="s">
        <v>52</v>
      </c>
      <c r="F49" s="62">
        <v>58.0</v>
      </c>
    </row>
    <row r="50">
      <c r="A50" s="63"/>
      <c r="B50" s="61"/>
      <c r="C50" s="61"/>
      <c r="D50" s="61"/>
      <c r="E50" s="61"/>
      <c r="F50" s="62"/>
    </row>
    <row r="51">
      <c r="A51" s="58" t="s">
        <v>552</v>
      </c>
      <c r="B51" s="49"/>
      <c r="C51" s="49"/>
      <c r="D51" s="49"/>
      <c r="E51" s="49"/>
      <c r="F51" s="50"/>
    </row>
    <row r="52">
      <c r="A52" s="59" t="s">
        <v>478</v>
      </c>
      <c r="B52" s="60" t="s">
        <v>1</v>
      </c>
      <c r="C52" s="60" t="s">
        <v>5</v>
      </c>
      <c r="D52" s="60" t="s">
        <v>8</v>
      </c>
      <c r="E52" s="60" t="s">
        <v>12</v>
      </c>
      <c r="F52" s="59" t="s">
        <v>553</v>
      </c>
    </row>
    <row r="53">
      <c r="A53" s="18">
        <v>1.0</v>
      </c>
      <c r="B53" s="61" t="s">
        <v>324</v>
      </c>
      <c r="C53" s="61" t="s">
        <v>529</v>
      </c>
      <c r="D53" s="61" t="s">
        <v>53</v>
      </c>
      <c r="E53" s="61" t="s">
        <v>39</v>
      </c>
      <c r="F53" s="62">
        <v>94.2</v>
      </c>
    </row>
    <row r="54">
      <c r="A54" s="18">
        <v>2.0</v>
      </c>
      <c r="B54" s="61" t="s">
        <v>308</v>
      </c>
      <c r="C54" s="61" t="s">
        <v>481</v>
      </c>
      <c r="D54" s="61" t="s">
        <v>53</v>
      </c>
      <c r="E54" s="61" t="s">
        <v>39</v>
      </c>
      <c r="F54" s="62">
        <v>93.8</v>
      </c>
    </row>
    <row r="55">
      <c r="A55" s="18">
        <v>3.0</v>
      </c>
      <c r="B55" s="61" t="s">
        <v>316</v>
      </c>
      <c r="C55" s="61" t="s">
        <v>531</v>
      </c>
      <c r="D55" s="61" t="s">
        <v>51</v>
      </c>
      <c r="E55" s="61" t="s">
        <v>39</v>
      </c>
      <c r="F55" s="62">
        <v>92.6</v>
      </c>
    </row>
    <row r="56">
      <c r="A56" s="18">
        <v>4.0</v>
      </c>
      <c r="B56" s="61" t="s">
        <v>65</v>
      </c>
      <c r="C56" s="61" t="s">
        <v>532</v>
      </c>
      <c r="D56" s="61" t="s">
        <v>53</v>
      </c>
      <c r="E56" s="61" t="s">
        <v>39</v>
      </c>
      <c r="F56" s="62">
        <v>92.4</v>
      </c>
    </row>
    <row r="57">
      <c r="A57" s="18">
        <v>5.0</v>
      </c>
      <c r="B57" s="61" t="s">
        <v>96</v>
      </c>
      <c r="C57" s="61" t="s">
        <v>525</v>
      </c>
      <c r="D57" s="61" t="s">
        <v>38</v>
      </c>
      <c r="E57" s="61" t="s">
        <v>39</v>
      </c>
      <c r="F57" s="62">
        <v>90.0</v>
      </c>
    </row>
    <row r="58">
      <c r="A58" s="18">
        <v>6.0</v>
      </c>
      <c r="B58" s="61" t="s">
        <v>248</v>
      </c>
      <c r="C58" s="61" t="s">
        <v>533</v>
      </c>
      <c r="D58" s="61" t="s">
        <v>53</v>
      </c>
      <c r="E58" s="61" t="s">
        <v>39</v>
      </c>
      <c r="F58" s="62">
        <v>89.8</v>
      </c>
    </row>
    <row r="59">
      <c r="A59" s="18">
        <v>7.0</v>
      </c>
      <c r="B59" s="61" t="s">
        <v>81</v>
      </c>
      <c r="C59" s="61" t="s">
        <v>495</v>
      </c>
      <c r="D59" s="61" t="s">
        <v>38</v>
      </c>
      <c r="E59" s="61" t="s">
        <v>39</v>
      </c>
      <c r="F59" s="62">
        <v>89.4</v>
      </c>
    </row>
    <row r="60">
      <c r="A60" s="18">
        <v>8.0</v>
      </c>
      <c r="B60" s="61" t="s">
        <v>111</v>
      </c>
      <c r="C60" s="61" t="s">
        <v>396</v>
      </c>
      <c r="D60" s="61" t="s">
        <v>53</v>
      </c>
      <c r="E60" s="61" t="s">
        <v>39</v>
      </c>
      <c r="F60" s="62">
        <v>89.0</v>
      </c>
    </row>
    <row r="61">
      <c r="A61" s="18">
        <v>9.0</v>
      </c>
      <c r="B61" s="61" t="s">
        <v>92</v>
      </c>
      <c r="C61" s="61" t="s">
        <v>517</v>
      </c>
      <c r="D61" s="61" t="s">
        <v>53</v>
      </c>
      <c r="E61" s="61" t="s">
        <v>52</v>
      </c>
      <c r="F61" s="62">
        <v>87.6</v>
      </c>
    </row>
    <row r="62">
      <c r="A62" s="18">
        <v>10.0</v>
      </c>
      <c r="B62" s="61" t="s">
        <v>122</v>
      </c>
      <c r="C62" s="61" t="s">
        <v>524</v>
      </c>
      <c r="D62" s="61" t="s">
        <v>53</v>
      </c>
      <c r="E62" s="61" t="s">
        <v>39</v>
      </c>
      <c r="F62" s="62">
        <v>82.6</v>
      </c>
    </row>
    <row r="63">
      <c r="A63" s="18">
        <v>11.0</v>
      </c>
      <c r="B63" s="61" t="s">
        <v>250</v>
      </c>
      <c r="C63" s="61" t="s">
        <v>432</v>
      </c>
      <c r="D63" s="61" t="s">
        <v>53</v>
      </c>
      <c r="E63" s="61" t="s">
        <v>39</v>
      </c>
      <c r="F63" s="62">
        <v>82.2</v>
      </c>
    </row>
    <row r="64">
      <c r="A64" s="18">
        <v>12.0</v>
      </c>
      <c r="B64" s="61" t="s">
        <v>107</v>
      </c>
      <c r="C64" s="61" t="s">
        <v>536</v>
      </c>
      <c r="D64" s="61" t="s">
        <v>38</v>
      </c>
      <c r="E64" s="61" t="s">
        <v>39</v>
      </c>
      <c r="F64" s="62">
        <v>78.4</v>
      </c>
    </row>
    <row r="65">
      <c r="A65" s="18">
        <v>13.0</v>
      </c>
      <c r="B65" s="61" t="s">
        <v>321</v>
      </c>
      <c r="C65" s="61" t="s">
        <v>537</v>
      </c>
      <c r="D65" s="61" t="s">
        <v>51</v>
      </c>
      <c r="E65" s="61" t="s">
        <v>39</v>
      </c>
      <c r="F65" s="62">
        <v>77.6</v>
      </c>
    </row>
    <row r="66">
      <c r="A66" s="18">
        <v>14.0</v>
      </c>
      <c r="B66" s="61" t="s">
        <v>201</v>
      </c>
      <c r="C66" s="61" t="s">
        <v>515</v>
      </c>
      <c r="D66" s="61" t="s">
        <v>38</v>
      </c>
      <c r="E66" s="61" t="s">
        <v>52</v>
      </c>
      <c r="F66" s="62">
        <v>76.8</v>
      </c>
    </row>
    <row r="67">
      <c r="A67" s="18">
        <v>15.0</v>
      </c>
      <c r="B67" s="61" t="s">
        <v>306</v>
      </c>
      <c r="C67" s="61" t="s">
        <v>459</v>
      </c>
      <c r="D67" s="61" t="s">
        <v>51</v>
      </c>
      <c r="E67" s="61" t="s">
        <v>39</v>
      </c>
      <c r="F67" s="62">
        <v>75.8</v>
      </c>
    </row>
    <row r="68">
      <c r="A68" s="18">
        <v>16.0</v>
      </c>
      <c r="B68" s="61" t="s">
        <v>254</v>
      </c>
      <c r="C68" s="61" t="s">
        <v>527</v>
      </c>
      <c r="D68" s="61" t="s">
        <v>53</v>
      </c>
      <c r="E68" s="61" t="s">
        <v>52</v>
      </c>
      <c r="F68" s="62">
        <v>75.2</v>
      </c>
    </row>
    <row r="69">
      <c r="A69" s="18">
        <v>17.0</v>
      </c>
      <c r="B69" s="61" t="s">
        <v>163</v>
      </c>
      <c r="C69" s="61" t="s">
        <v>539</v>
      </c>
      <c r="D69" s="61" t="s">
        <v>53</v>
      </c>
      <c r="E69" s="61" t="s">
        <v>52</v>
      </c>
      <c r="F69" s="62">
        <v>74.6</v>
      </c>
    </row>
    <row r="70">
      <c r="A70" s="18">
        <v>18.0</v>
      </c>
      <c r="B70" s="61" t="s">
        <v>106</v>
      </c>
      <c r="C70" s="61" t="s">
        <v>273</v>
      </c>
      <c r="D70" s="61" t="s">
        <v>53</v>
      </c>
      <c r="E70" s="61" t="s">
        <v>52</v>
      </c>
      <c r="F70" s="62">
        <v>74.0</v>
      </c>
    </row>
    <row r="71">
      <c r="A71" s="18">
        <v>19.0</v>
      </c>
      <c r="B71" s="61" t="s">
        <v>73</v>
      </c>
      <c r="C71" s="61" t="s">
        <v>541</v>
      </c>
      <c r="D71" s="61" t="s">
        <v>38</v>
      </c>
      <c r="E71" s="61" t="s">
        <v>39</v>
      </c>
      <c r="F71" s="62">
        <v>73.6</v>
      </c>
    </row>
    <row r="72">
      <c r="A72" s="18">
        <v>20.0</v>
      </c>
      <c r="B72" s="61" t="s">
        <v>47</v>
      </c>
      <c r="C72" s="61" t="s">
        <v>492</v>
      </c>
      <c r="D72" s="61" t="s">
        <v>51</v>
      </c>
      <c r="E72" s="61" t="s">
        <v>52</v>
      </c>
      <c r="F72" s="62">
        <v>67.0</v>
      </c>
    </row>
    <row r="73">
      <c r="A73" s="18">
        <v>21.0</v>
      </c>
      <c r="B73" s="61" t="s">
        <v>332</v>
      </c>
      <c r="C73" s="61" t="s">
        <v>544</v>
      </c>
      <c r="D73" s="61" t="s">
        <v>51</v>
      </c>
      <c r="E73" s="61" t="s">
        <v>39</v>
      </c>
      <c r="F73" s="62">
        <v>67.0</v>
      </c>
    </row>
    <row r="74">
      <c r="A74" s="18">
        <v>22.0</v>
      </c>
      <c r="B74" s="61" t="s">
        <v>116</v>
      </c>
      <c r="C74" s="61" t="s">
        <v>545</v>
      </c>
      <c r="D74" s="61" t="s">
        <v>53</v>
      </c>
      <c r="E74" s="61" t="s">
        <v>52</v>
      </c>
      <c r="F74" s="62">
        <v>65.8</v>
      </c>
    </row>
    <row r="75">
      <c r="A75" s="18">
        <v>23.0</v>
      </c>
      <c r="B75" s="61" t="s">
        <v>265</v>
      </c>
      <c r="C75" s="61" t="s">
        <v>521</v>
      </c>
      <c r="D75" s="61" t="s">
        <v>53</v>
      </c>
      <c r="E75" s="61" t="s">
        <v>39</v>
      </c>
      <c r="F75" s="62">
        <v>65.8</v>
      </c>
    </row>
    <row r="76">
      <c r="A76" s="18">
        <v>24.0</v>
      </c>
      <c r="B76" s="61" t="s">
        <v>57</v>
      </c>
      <c r="C76" s="61" t="s">
        <v>530</v>
      </c>
      <c r="D76" s="61" t="s">
        <v>51</v>
      </c>
      <c r="E76" s="61" t="s">
        <v>52</v>
      </c>
      <c r="F76" s="62">
        <v>65.2</v>
      </c>
    </row>
    <row r="77">
      <c r="A77" s="18">
        <v>25.0</v>
      </c>
      <c r="B77" s="61" t="s">
        <v>55</v>
      </c>
      <c r="C77" s="61" t="s">
        <v>445</v>
      </c>
      <c r="D77" s="61" t="s">
        <v>60</v>
      </c>
      <c r="E77" s="61" t="s">
        <v>62</v>
      </c>
      <c r="F77" s="62">
        <v>65.0</v>
      </c>
    </row>
    <row r="78">
      <c r="A78" s="18">
        <v>26.0</v>
      </c>
      <c r="B78" s="61" t="s">
        <v>43</v>
      </c>
      <c r="C78" s="61" t="s">
        <v>49</v>
      </c>
      <c r="D78" s="61" t="s">
        <v>53</v>
      </c>
      <c r="E78" s="61" t="s">
        <v>59</v>
      </c>
      <c r="F78" s="62">
        <v>64.2</v>
      </c>
    </row>
    <row r="79">
      <c r="A79" s="18">
        <v>27.0</v>
      </c>
      <c r="B79" s="61" t="s">
        <v>259</v>
      </c>
      <c r="C79" s="61" t="s">
        <v>286</v>
      </c>
      <c r="D79" s="61" t="s">
        <v>53</v>
      </c>
      <c r="E79" s="61" t="s">
        <v>52</v>
      </c>
      <c r="F79" s="62">
        <v>62.0</v>
      </c>
    </row>
    <row r="80">
      <c r="A80" s="18">
        <v>28.0</v>
      </c>
      <c r="B80" s="61" t="s">
        <v>310</v>
      </c>
      <c r="C80" s="61" t="s">
        <v>428</v>
      </c>
      <c r="D80" s="61" t="s">
        <v>51</v>
      </c>
      <c r="E80" s="61" t="s">
        <v>39</v>
      </c>
      <c r="F80" s="62">
        <v>61.8</v>
      </c>
    </row>
    <row r="81">
      <c r="A81" s="18">
        <v>29.0</v>
      </c>
      <c r="B81" s="61" t="s">
        <v>103</v>
      </c>
      <c r="C81" s="61" t="s">
        <v>540</v>
      </c>
      <c r="D81" s="61" t="s">
        <v>88</v>
      </c>
      <c r="E81" s="61" t="s">
        <v>39</v>
      </c>
      <c r="F81" s="62">
        <v>60.8</v>
      </c>
    </row>
    <row r="82">
      <c r="A82" s="18">
        <v>30.0</v>
      </c>
      <c r="B82" s="61" t="s">
        <v>159</v>
      </c>
      <c r="C82" s="61" t="s">
        <v>406</v>
      </c>
      <c r="D82" s="61" t="s">
        <v>38</v>
      </c>
      <c r="E82" s="61" t="s">
        <v>52</v>
      </c>
      <c r="F82" s="62">
        <v>60.2</v>
      </c>
    </row>
    <row r="83">
      <c r="A83" s="18">
        <v>31.0</v>
      </c>
      <c r="B83" s="61" t="s">
        <v>91</v>
      </c>
      <c r="C83" s="61" t="s">
        <v>511</v>
      </c>
      <c r="D83" s="61" t="s">
        <v>88</v>
      </c>
      <c r="E83" s="61" t="s">
        <v>39</v>
      </c>
      <c r="F83" s="62">
        <v>60.0</v>
      </c>
    </row>
    <row r="84">
      <c r="A84" s="18">
        <v>32.0</v>
      </c>
      <c r="B84" s="61" t="s">
        <v>98</v>
      </c>
      <c r="C84" s="61" t="s">
        <v>550</v>
      </c>
      <c r="D84" s="61" t="s">
        <v>88</v>
      </c>
      <c r="E84" s="61" t="s">
        <v>39</v>
      </c>
      <c r="F84" s="62">
        <v>60.0</v>
      </c>
    </row>
    <row r="85">
      <c r="A85" s="18">
        <v>33.0</v>
      </c>
      <c r="B85" s="61" t="s">
        <v>325</v>
      </c>
      <c r="C85" s="61" t="s">
        <v>355</v>
      </c>
      <c r="D85" s="61" t="s">
        <v>51</v>
      </c>
      <c r="E85" s="61" t="s">
        <v>39</v>
      </c>
      <c r="F85" s="62">
        <v>59.6</v>
      </c>
    </row>
    <row r="86">
      <c r="A86" s="18">
        <v>34.0</v>
      </c>
      <c r="B86" s="61" t="s">
        <v>210</v>
      </c>
      <c r="C86" s="61" t="s">
        <v>551</v>
      </c>
      <c r="D86" s="61" t="s">
        <v>38</v>
      </c>
      <c r="E86" s="61" t="s">
        <v>52</v>
      </c>
      <c r="F86" s="62">
        <v>59.0</v>
      </c>
    </row>
    <row r="87">
      <c r="A87" s="18">
        <v>35.0</v>
      </c>
      <c r="B87" s="61" t="s">
        <v>318</v>
      </c>
      <c r="C87" s="61" t="s">
        <v>477</v>
      </c>
      <c r="D87" s="61" t="s">
        <v>51</v>
      </c>
      <c r="E87" s="61" t="s">
        <v>39</v>
      </c>
      <c r="F87" s="62">
        <v>58.2</v>
      </c>
    </row>
    <row r="88">
      <c r="A88" s="35">
        <f>33+12+35</f>
        <v>80</v>
      </c>
    </row>
  </sheetData>
  <mergeCells count="3">
    <mergeCell ref="A1:F1"/>
    <mergeCell ref="A36:F36"/>
    <mergeCell ref="A51:F51"/>
  </mergeCells>
  <conditionalFormatting sqref="B38:B49 B53:B87">
    <cfRule type="expression" dxfId="0" priority="1">
      <formula>AND($B38&lt;&gt;"", COUNTIF($B$1:$B$319, $B38) &gt; 1)</formula>
    </cfRule>
  </conditionalFormatting>
  <drawing r:id="rId1"/>
</worksheet>
</file>